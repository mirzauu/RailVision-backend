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b0a6c269ef6de/Desktop/RailVision December 3 2025/Workpapers to evaluate share purchase options and valuation/"/>
    </mc:Choice>
  </mc:AlternateContent>
  <xr:revisionPtr revIDLastSave="1" documentId="8_{5E30652F-70D9-44CB-9BFD-F64BA669DECB}" xr6:coauthVersionLast="47" xr6:coauthVersionMax="47" xr10:uidLastSave="{66FB0B1F-823E-4267-BB07-D801B051BD59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5" i="1" l="1"/>
  <c r="I132" i="1"/>
  <c r="H132" i="1"/>
  <c r="G132" i="1"/>
  <c r="F132" i="1"/>
  <c r="E132" i="1"/>
  <c r="D132" i="1"/>
  <c r="J131" i="1"/>
  <c r="J130" i="1"/>
  <c r="J129" i="1"/>
  <c r="J128" i="1"/>
  <c r="J127" i="1"/>
  <c r="J126" i="1"/>
  <c r="J125" i="1"/>
  <c r="E123" i="1"/>
  <c r="J122" i="1"/>
  <c r="J121" i="1"/>
  <c r="I120" i="1"/>
  <c r="I123" i="1" s="1"/>
  <c r="H120" i="1"/>
  <c r="H123" i="1" s="1"/>
  <c r="G120" i="1"/>
  <c r="G123" i="1" s="1"/>
  <c r="F120" i="1"/>
  <c r="F123" i="1" s="1"/>
  <c r="E120" i="1"/>
  <c r="D120" i="1"/>
  <c r="D123" i="1" s="1"/>
  <c r="J119" i="1"/>
  <c r="J118" i="1"/>
  <c r="J117" i="1"/>
  <c r="J116" i="1"/>
  <c r="J113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I78" i="1"/>
  <c r="I112" i="1" s="1"/>
  <c r="H78" i="1"/>
  <c r="H112" i="1" s="1"/>
  <c r="G78" i="1"/>
  <c r="G112" i="1" s="1"/>
  <c r="F78" i="1"/>
  <c r="F112" i="1" s="1"/>
  <c r="F114" i="1" s="1"/>
  <c r="E78" i="1"/>
  <c r="E112" i="1" s="1"/>
  <c r="E114" i="1" s="1"/>
  <c r="D78" i="1"/>
  <c r="C78" i="1"/>
  <c r="C112" i="1" s="1"/>
  <c r="J77" i="1"/>
  <c r="J76" i="1"/>
  <c r="J75" i="1"/>
  <c r="J74" i="1"/>
  <c r="J73" i="1"/>
  <c r="J72" i="1"/>
  <c r="J71" i="1"/>
  <c r="J70" i="1"/>
  <c r="J69" i="1"/>
  <c r="J68" i="1"/>
  <c r="J67" i="1"/>
  <c r="I65" i="1"/>
  <c r="H65" i="1"/>
  <c r="G65" i="1"/>
  <c r="J64" i="1"/>
  <c r="J63" i="1"/>
  <c r="J62" i="1"/>
  <c r="J61" i="1"/>
  <c r="J60" i="1"/>
  <c r="J59" i="1"/>
  <c r="J58" i="1"/>
  <c r="I56" i="1"/>
  <c r="H56" i="1"/>
  <c r="G56" i="1"/>
  <c r="J55" i="1"/>
  <c r="J54" i="1"/>
  <c r="J53" i="1"/>
  <c r="J52" i="1"/>
  <c r="J51" i="1"/>
  <c r="J50" i="1"/>
  <c r="J49" i="1"/>
  <c r="J48" i="1"/>
  <c r="I46" i="1"/>
  <c r="H46" i="1"/>
  <c r="G46" i="1"/>
  <c r="J46" i="1" s="1"/>
  <c r="J45" i="1"/>
  <c r="J44" i="1"/>
  <c r="J43" i="1"/>
  <c r="J42" i="1"/>
  <c r="J41" i="1"/>
  <c r="J40" i="1"/>
  <c r="J39" i="1"/>
  <c r="J38" i="1"/>
  <c r="J37" i="1"/>
  <c r="I36" i="1"/>
  <c r="H36" i="1"/>
  <c r="G36" i="1"/>
  <c r="D36" i="1"/>
  <c r="C36" i="1"/>
  <c r="J35" i="1"/>
  <c r="J34" i="1"/>
  <c r="J33" i="1"/>
  <c r="J32" i="1"/>
  <c r="J31" i="1"/>
  <c r="J30" i="1"/>
  <c r="J29" i="1"/>
  <c r="J28" i="1"/>
  <c r="J27" i="1"/>
  <c r="J26" i="1"/>
  <c r="J25" i="1"/>
  <c r="J24" i="1"/>
  <c r="D21" i="1"/>
  <c r="C21" i="1"/>
  <c r="J20" i="1"/>
  <c r="I19" i="1"/>
  <c r="I21" i="1" s="1"/>
  <c r="H19" i="1"/>
  <c r="H21" i="1" s="1"/>
  <c r="G19" i="1"/>
  <c r="G21" i="1" s="1"/>
  <c r="F19" i="1"/>
  <c r="F21" i="1" s="1"/>
  <c r="F135" i="1" s="1"/>
  <c r="E19" i="1"/>
  <c r="E21" i="1" s="1"/>
  <c r="E135" i="1" s="1"/>
  <c r="J18" i="1"/>
  <c r="J17" i="1"/>
  <c r="J16" i="1"/>
  <c r="J15" i="1"/>
  <c r="I13" i="1"/>
  <c r="H13" i="1"/>
  <c r="G13" i="1"/>
  <c r="F13" i="1"/>
  <c r="E13" i="1"/>
  <c r="D13" i="1"/>
  <c r="C13" i="1"/>
  <c r="J12" i="1"/>
  <c r="J11" i="1"/>
  <c r="J10" i="1"/>
  <c r="J9" i="1"/>
  <c r="J8" i="1"/>
  <c r="J7" i="1"/>
  <c r="H135" i="1" l="1"/>
  <c r="C22" i="1"/>
  <c r="C114" i="1"/>
  <c r="C135" i="1" s="1"/>
  <c r="J65" i="1"/>
  <c r="F22" i="1"/>
  <c r="D22" i="1"/>
  <c r="J56" i="1"/>
  <c r="H114" i="1"/>
  <c r="J123" i="1"/>
  <c r="I22" i="1"/>
  <c r="J21" i="1"/>
  <c r="J78" i="1"/>
  <c r="J132" i="1"/>
  <c r="F133" i="1"/>
  <c r="J36" i="1"/>
  <c r="J13" i="1"/>
  <c r="J19" i="1"/>
  <c r="G22" i="1"/>
  <c r="I114" i="1"/>
  <c r="I135" i="1" s="1"/>
  <c r="J120" i="1"/>
  <c r="E22" i="1"/>
  <c r="E133" i="1" s="1"/>
  <c r="H22" i="1"/>
  <c r="G114" i="1"/>
  <c r="G135" i="1" s="1"/>
  <c r="D112" i="1"/>
  <c r="D114" i="1" s="1"/>
  <c r="D135" i="1" s="1"/>
  <c r="C133" i="1" l="1"/>
  <c r="G133" i="1"/>
  <c r="H133" i="1"/>
  <c r="I133" i="1"/>
  <c r="J114" i="1"/>
  <c r="J135" i="1" s="1"/>
  <c r="D133" i="1"/>
  <c r="J112" i="1"/>
  <c r="J22" i="1"/>
  <c r="J133" i="1" l="1"/>
</calcChain>
</file>

<file path=xl/sharedStrings.xml><?xml version="1.0" encoding="utf-8"?>
<sst xmlns="http://schemas.openxmlformats.org/spreadsheetml/2006/main" count="141" uniqueCount="141">
  <si>
    <t>Profit and Loss</t>
  </si>
  <si>
    <t>11121391 CANADA INC. dba RailVision Analytics</t>
  </si>
  <si>
    <t>January 1, 2018-December 31, 2025</t>
  </si>
  <si>
    <t>Income</t>
  </si>
  <si>
    <t>4000 Revenue</t>
  </si>
  <si>
    <t>4050 Sales of Product Income</t>
  </si>
  <si>
    <t>4080 Billable Expense Income</t>
  </si>
  <si>
    <t>4205 Discounts given</t>
  </si>
  <si>
    <t>4210 Refunds-Allowances</t>
  </si>
  <si>
    <t>4300 Uncategorized Income</t>
  </si>
  <si>
    <t>Total for Income</t>
  </si>
  <si>
    <t>Cost of Goods Sold</t>
  </si>
  <si>
    <t>5000 COST OF GOODS SOLD</t>
  </si>
  <si>
    <t>5015 Software</t>
  </si>
  <si>
    <t>5020 Meals &amp; Entertainment</t>
  </si>
  <si>
    <t>5030 Travel</t>
  </si>
  <si>
    <t>Total for 5000 COST OF GOODS SOLD</t>
  </si>
  <si>
    <t>5100 Supplies and materials - COS</t>
  </si>
  <si>
    <t>Total for Cost of Goods Sold</t>
  </si>
  <si>
    <t>Gross Profit</t>
  </si>
  <si>
    <t>Expenses</t>
  </si>
  <si>
    <t>6000 RESEARCH AND DEVELOPMENT</t>
  </si>
  <si>
    <t>6100 ENGINEERING</t>
  </si>
  <si>
    <t>6005 Salaries - Prototyping</t>
  </si>
  <si>
    <t>6015 Meals and entertainment - Prototyping</t>
  </si>
  <si>
    <t>6020 Travel  - Prototyping</t>
  </si>
  <si>
    <t>6105 Salaries</t>
  </si>
  <si>
    <t>6110 Software</t>
  </si>
  <si>
    <t>6115 Meals &amp; Entertainment</t>
  </si>
  <si>
    <t>6120 Travel</t>
  </si>
  <si>
    <t>6122 Meals and entertainment - Travel</t>
  </si>
  <si>
    <t>6130 Consultant</t>
  </si>
  <si>
    <t>6135 ENGINEERING - Quarterly Business Meetings</t>
  </si>
  <si>
    <t>Total for 6100 ENGINEERING</t>
  </si>
  <si>
    <t>6150 PRODUCT</t>
  </si>
  <si>
    <t>6155 Salaries</t>
  </si>
  <si>
    <t>6160 Software</t>
  </si>
  <si>
    <t>6162 Dues and Subscriptions - PRODUCT</t>
  </si>
  <si>
    <t>6165 Meals &amp; Entertainment</t>
  </si>
  <si>
    <t>6167 Meals and entertainment - Travel</t>
  </si>
  <si>
    <t>6170 Travel</t>
  </si>
  <si>
    <t>6175 Phone</t>
  </si>
  <si>
    <t>6185 PRODUCT - Quarterly Business Meetings</t>
  </si>
  <si>
    <t>Total for 6150 PRODUCT</t>
  </si>
  <si>
    <t>6300 SALES</t>
  </si>
  <si>
    <t>6305 Salaries</t>
  </si>
  <si>
    <t>6310 Software</t>
  </si>
  <si>
    <t>6315 Meals &amp; Entertainment</t>
  </si>
  <si>
    <t>6317 Meals and entertainment - Travel</t>
  </si>
  <si>
    <t>6320 Travel</t>
  </si>
  <si>
    <t>6325 Phone</t>
  </si>
  <si>
    <t>6330 Consultant</t>
  </si>
  <si>
    <t>6335 Commission</t>
  </si>
  <si>
    <t>Total for 6300 SALES</t>
  </si>
  <si>
    <t>6350 MARKETING</t>
  </si>
  <si>
    <t>6360 Software</t>
  </si>
  <si>
    <t>6367 Meals and entertainment - Travel</t>
  </si>
  <si>
    <t>6370 Travel</t>
  </si>
  <si>
    <t>6380 Consultant</t>
  </si>
  <si>
    <t>6385 MARKETING - Quarterly Business Meetings</t>
  </si>
  <si>
    <t>6390 Promotional</t>
  </si>
  <si>
    <t>6395 Tradeshow expenses</t>
  </si>
  <si>
    <t>Total for 6350 MARKETING</t>
  </si>
  <si>
    <t>6400 GENERAL &amp; ADMIN</t>
  </si>
  <si>
    <t>6410 Payroll Expenses</t>
  </si>
  <si>
    <t>6411 Benjamin Bonnaire</t>
  </si>
  <si>
    <t>6412 Dev Jain</t>
  </si>
  <si>
    <t>6413 William Zhang</t>
  </si>
  <si>
    <t>6414 Tony Ou</t>
  </si>
  <si>
    <t>6415 Wages</t>
  </si>
  <si>
    <t>6425 Cotisations et retenues</t>
  </si>
  <si>
    <t>6430 Employee Benefits</t>
  </si>
  <si>
    <t>6435 Taxes</t>
  </si>
  <si>
    <t>6440 CNESST Health and Security</t>
  </si>
  <si>
    <t>6445 Payroll processing fee</t>
  </si>
  <si>
    <t>Total for 6410 Payroll Expenses</t>
  </si>
  <si>
    <t>6450 G&amp;A - Quarterly Business Meetings</t>
  </si>
  <si>
    <t>6500 Accounting</t>
  </si>
  <si>
    <t>6510 Auto expenses</t>
  </si>
  <si>
    <t>6520 Bank charges</t>
  </si>
  <si>
    <t>6525 Commissions and fees</t>
  </si>
  <si>
    <t>6535 Dues and Subscriptions</t>
  </si>
  <si>
    <t>6540 Freight and Delivery</t>
  </si>
  <si>
    <t>6550 Insurance</t>
  </si>
  <si>
    <t>6565 Interest exp</t>
  </si>
  <si>
    <t>6570 Job Materials</t>
  </si>
  <si>
    <t>6575 Legal</t>
  </si>
  <si>
    <t>6580 Meals and entertainment</t>
  </si>
  <si>
    <t>6585 Office expenses</t>
  </si>
  <si>
    <t>6590 Other general and administrative expenses</t>
  </si>
  <si>
    <t>6600 Professional</t>
  </si>
  <si>
    <t>6605 Promotional</t>
  </si>
  <si>
    <t>6620 Recruiting</t>
  </si>
  <si>
    <t>6625 Rent or lease payments</t>
  </si>
  <si>
    <t>6630 Repair and maintenance</t>
  </si>
  <si>
    <t>6635 Shipping and delivery expense</t>
  </si>
  <si>
    <t>6637 Software</t>
  </si>
  <si>
    <t>6640 Stationery and printing</t>
  </si>
  <si>
    <t>6645 Subcontractors</t>
  </si>
  <si>
    <t>6650 Supplies</t>
  </si>
  <si>
    <t>6655 Taxes and Licenses</t>
  </si>
  <si>
    <t>6660 Telephone</t>
  </si>
  <si>
    <t>6665 Tools</t>
  </si>
  <si>
    <t>6670 Tradeshow expenses</t>
  </si>
  <si>
    <t>6675 Travel</t>
  </si>
  <si>
    <t>6680 Travel meals</t>
  </si>
  <si>
    <t>6685 Utilities</t>
  </si>
  <si>
    <t>6710 Uncategorized Expense</t>
  </si>
  <si>
    <t>6950 Income Tax Expense</t>
  </si>
  <si>
    <t>Total for 6400 GENERAL &amp; ADMIN</t>
  </si>
  <si>
    <t>Advertising (deleted)</t>
  </si>
  <si>
    <t>Total for Expenses</t>
  </si>
  <si>
    <t>Other Income</t>
  </si>
  <si>
    <t>7005 Business Grants</t>
  </si>
  <si>
    <t>7010 CEBA forgiveness of loan</t>
  </si>
  <si>
    <t>7020 Government Subsidies</t>
  </si>
  <si>
    <t>7030 CEWS</t>
  </si>
  <si>
    <t>Total for 7020 Government Subsidies</t>
  </si>
  <si>
    <t>7050 Interest earned</t>
  </si>
  <si>
    <t>7110 Leasehold Incentive Income</t>
  </si>
  <si>
    <t>Total for Other Income</t>
  </si>
  <si>
    <t>Other Expenses</t>
  </si>
  <si>
    <t>Unrealized Gain or Loss</t>
  </si>
  <si>
    <t>8005 Amortization expense</t>
  </si>
  <si>
    <t>8010 Exchange Gain or Loss</t>
  </si>
  <si>
    <t>8015 Miscellaneous</t>
  </si>
  <si>
    <t>8017 Interest Expense</t>
  </si>
  <si>
    <t>8020 Penalties and settlements</t>
  </si>
  <si>
    <t>8030 Reconciliation Discrepancies</t>
  </si>
  <si>
    <t>Total for Other Expenses</t>
  </si>
  <si>
    <t>Profit</t>
  </si>
  <si>
    <t>Distribution account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</si>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</sst>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000000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3" fillId="0" borderId="2" xfId="0" applyNumberFormat="1" applyFont="1" applyBorder="1" applyAlignment="1">
      <alignment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4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wrapText="1"/>
    </xf>
    <xf numFmtId="4" fontId="3" fillId="2" borderId="3" xfId="0" applyNumberFormat="1" applyFont="1" applyFill="1" applyBorder="1" applyAlignment="1">
      <alignment wrapText="1"/>
    </xf>
    <xf numFmtId="165" fontId="0" fillId="0" borderId="0" xfId="0" applyNumberFormat="1"/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M135"/>
  <sheetViews>
    <sheetView tabSelected="1" workbookViewId="0">
      <selection activeCell="A136" sqref="A136"/>
    </sheetView>
  </sheetViews>
  <sheetFormatPr defaultColWidth="11.33203125" defaultRowHeight="15.5" outlineLevelRow="3" x14ac:dyDescent="0.35"/>
  <cols>
    <col min="1" max="1" width="40.08203125" style="1" customWidth="1"/>
    <col min="2" max="2" width="7.5" style="1" customWidth="1"/>
    <col min="3" max="6" width="16.08203125" style="1" customWidth="1"/>
    <col min="7" max="7" width="17" style="1" customWidth="1"/>
    <col min="8" max="8" width="16.08203125" style="1" customWidth="1"/>
    <col min="9" max="9" width="17" style="1" customWidth="1"/>
    <col min="10" max="10" width="16.08203125" style="1" customWidth="1"/>
    <col min="13" max="13" width="17.6640625" bestFit="1" customWidth="1"/>
  </cols>
  <sheetData>
    <row r="1" spans="1:10" ht="16" x14ac:dyDescent="0.4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5">
      <c r="A3" s="21" t="s">
        <v>2</v>
      </c>
      <c r="B3" s="19"/>
      <c r="C3" s="19"/>
      <c r="D3" s="19"/>
      <c r="E3" s="19"/>
      <c r="F3" s="19"/>
      <c r="G3" s="19"/>
      <c r="H3" s="19"/>
      <c r="I3" s="19"/>
      <c r="J3" s="19"/>
    </row>
    <row r="5" spans="1:10" x14ac:dyDescent="0.35">
      <c r="A5" s="9" t="s">
        <v>131</v>
      </c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138</v>
      </c>
      <c r="I5" s="9" t="s">
        <v>139</v>
      </c>
      <c r="J5" s="9" t="s">
        <v>140</v>
      </c>
    </row>
    <row r="6" spans="1:10" x14ac:dyDescent="0.35">
      <c r="A6" s="2" t="s">
        <v>3</v>
      </c>
      <c r="B6" s="10"/>
      <c r="C6" s="10"/>
      <c r="D6" s="10"/>
      <c r="E6" s="10"/>
      <c r="F6" s="10"/>
      <c r="G6" s="10"/>
      <c r="H6" s="10"/>
      <c r="I6" s="10"/>
    </row>
    <row r="7" spans="1:10" hidden="1" outlineLevel="1" x14ac:dyDescent="0.35">
      <c r="A7" s="3" t="s">
        <v>4</v>
      </c>
      <c r="B7" s="10"/>
      <c r="C7" s="12">
        <v>31206</v>
      </c>
      <c r="D7" s="12">
        <v>21442.400000000001</v>
      </c>
      <c r="E7" s="12">
        <v>172842</v>
      </c>
      <c r="F7" s="12">
        <v>382850.01</v>
      </c>
      <c r="G7" s="12">
        <v>768000</v>
      </c>
      <c r="H7" s="12">
        <v>824490.57</v>
      </c>
      <c r="I7" s="12">
        <v>0</v>
      </c>
      <c r="J7" s="12">
        <f t="shared" ref="J7:J13" si="0">B7+C7+D7+E7+F7+G7+H7+I7</f>
        <v>2200830.98</v>
      </c>
    </row>
    <row r="8" spans="1:10" hidden="1" outlineLevel="1" x14ac:dyDescent="0.35">
      <c r="A8" s="3" t="s">
        <v>5</v>
      </c>
      <c r="B8" s="10"/>
      <c r="C8" s="10"/>
      <c r="D8" s="12">
        <v>0.27</v>
      </c>
      <c r="E8" s="10"/>
      <c r="F8" s="10"/>
      <c r="G8" s="10"/>
      <c r="H8" s="10"/>
      <c r="I8" s="10"/>
      <c r="J8" s="12">
        <f t="shared" si="0"/>
        <v>0.27</v>
      </c>
    </row>
    <row r="9" spans="1:10" hidden="1" outlineLevel="1" x14ac:dyDescent="0.35">
      <c r="A9" s="3" t="s">
        <v>6</v>
      </c>
      <c r="B9" s="10"/>
      <c r="C9" s="10"/>
      <c r="D9" s="10"/>
      <c r="E9" s="10"/>
      <c r="F9" s="12">
        <v>0</v>
      </c>
      <c r="G9" s="10"/>
      <c r="H9" s="10"/>
      <c r="I9" s="10"/>
      <c r="J9" s="12">
        <f t="shared" si="0"/>
        <v>0</v>
      </c>
    </row>
    <row r="10" spans="1:10" hidden="1" outlineLevel="1" x14ac:dyDescent="0.35">
      <c r="A10" s="3" t="s">
        <v>7</v>
      </c>
      <c r="B10" s="10"/>
      <c r="C10" s="10"/>
      <c r="D10" s="12">
        <v>1087.79</v>
      </c>
      <c r="E10" s="12">
        <v>50.14</v>
      </c>
      <c r="F10" s="10"/>
      <c r="G10" s="10"/>
      <c r="H10" s="10"/>
      <c r="I10" s="10"/>
      <c r="J10" s="12">
        <f t="shared" si="0"/>
        <v>1137.93</v>
      </c>
    </row>
    <row r="11" spans="1:10" hidden="1" outlineLevel="1" x14ac:dyDescent="0.35">
      <c r="A11" s="3" t="s">
        <v>8</v>
      </c>
      <c r="B11" s="10"/>
      <c r="C11" s="10"/>
      <c r="D11" s="12">
        <v>0</v>
      </c>
      <c r="E11" s="10"/>
      <c r="F11" s="10"/>
      <c r="G11" s="10"/>
      <c r="H11" s="10"/>
      <c r="I11" s="10"/>
      <c r="J11" s="12">
        <f t="shared" si="0"/>
        <v>0</v>
      </c>
    </row>
    <row r="12" spans="1:10" hidden="1" outlineLevel="1" x14ac:dyDescent="0.35">
      <c r="A12" s="3" t="s">
        <v>9</v>
      </c>
      <c r="B12" s="10"/>
      <c r="C12" s="10"/>
      <c r="D12" s="12">
        <v>0.97</v>
      </c>
      <c r="E12" s="10"/>
      <c r="F12" s="10"/>
      <c r="G12" s="12">
        <v>0</v>
      </c>
      <c r="H12" s="10"/>
      <c r="I12" s="10"/>
      <c r="J12" s="12">
        <f t="shared" si="0"/>
        <v>0.97</v>
      </c>
    </row>
    <row r="13" spans="1:10" collapsed="1" x14ac:dyDescent="0.35">
      <c r="A13" s="4" t="s">
        <v>10</v>
      </c>
      <c r="B13" s="11"/>
      <c r="C13" s="13">
        <f t="shared" ref="C13:I13" si="1">C7+C8+C9+C10+C11+C12</f>
        <v>31206</v>
      </c>
      <c r="D13" s="13">
        <f t="shared" si="1"/>
        <v>22531.430000000004</v>
      </c>
      <c r="E13" s="13">
        <f t="shared" si="1"/>
        <v>172892.14</v>
      </c>
      <c r="F13" s="13">
        <f t="shared" si="1"/>
        <v>382850.01</v>
      </c>
      <c r="G13" s="13">
        <f t="shared" si="1"/>
        <v>768000</v>
      </c>
      <c r="H13" s="13">
        <f t="shared" si="1"/>
        <v>824490.57</v>
      </c>
      <c r="I13" s="13">
        <f t="shared" si="1"/>
        <v>0</v>
      </c>
      <c r="J13" s="13">
        <f t="shared" si="0"/>
        <v>2201970.15</v>
      </c>
    </row>
    <row r="14" spans="1:10" x14ac:dyDescent="0.35">
      <c r="A14" s="2" t="s">
        <v>11</v>
      </c>
      <c r="B14" s="10"/>
      <c r="C14" s="10"/>
      <c r="D14" s="10"/>
      <c r="E14" s="10"/>
      <c r="F14" s="10"/>
      <c r="G14" s="10"/>
      <c r="H14" s="10"/>
      <c r="I14" s="10"/>
    </row>
    <row r="15" spans="1:10" hidden="1" outlineLevel="1" x14ac:dyDescent="0.35">
      <c r="A15" s="3" t="s">
        <v>12</v>
      </c>
      <c r="B15" s="10"/>
      <c r="C15" s="10"/>
      <c r="D15" s="10"/>
      <c r="E15" s="10"/>
      <c r="F15" s="10"/>
      <c r="G15" s="10"/>
      <c r="H15" s="10"/>
      <c r="I15" s="12">
        <v>8383.07</v>
      </c>
      <c r="J15" s="12">
        <f t="shared" ref="J15:J22" si="2">B15+C15+D15+E15+F15+G15+H15+I15</f>
        <v>8383.07</v>
      </c>
    </row>
    <row r="16" spans="1:10" hidden="1" outlineLevel="2" x14ac:dyDescent="0.35">
      <c r="A16" s="5" t="s">
        <v>13</v>
      </c>
      <c r="B16" s="10"/>
      <c r="C16" s="10"/>
      <c r="D16" s="10"/>
      <c r="E16" s="12">
        <v>1018.41</v>
      </c>
      <c r="F16" s="12">
        <v>24137.26</v>
      </c>
      <c r="G16" s="12">
        <v>3214.1</v>
      </c>
      <c r="H16" s="12">
        <v>46179.32</v>
      </c>
      <c r="I16" s="12">
        <v>92456.01</v>
      </c>
      <c r="J16" s="12">
        <f t="shared" si="2"/>
        <v>167005.09999999998</v>
      </c>
    </row>
    <row r="17" spans="1:10" hidden="1" outlineLevel="2" x14ac:dyDescent="0.35">
      <c r="A17" s="5" t="s">
        <v>14</v>
      </c>
      <c r="B17" s="10"/>
      <c r="C17" s="10"/>
      <c r="D17" s="10"/>
      <c r="E17" s="10"/>
      <c r="F17" s="10"/>
      <c r="G17" s="10"/>
      <c r="H17" s="10"/>
      <c r="I17" s="12">
        <v>26.57</v>
      </c>
      <c r="J17" s="12">
        <f t="shared" si="2"/>
        <v>26.57</v>
      </c>
    </row>
    <row r="18" spans="1:10" hidden="1" outlineLevel="2" x14ac:dyDescent="0.35">
      <c r="A18" s="5" t="s">
        <v>15</v>
      </c>
      <c r="B18" s="10"/>
      <c r="C18" s="10"/>
      <c r="D18" s="10"/>
      <c r="E18" s="10"/>
      <c r="F18" s="12">
        <v>1693.78</v>
      </c>
      <c r="G18" s="10"/>
      <c r="H18" s="10"/>
      <c r="I18" s="10"/>
      <c r="J18" s="12">
        <f t="shared" si="2"/>
        <v>1693.78</v>
      </c>
    </row>
    <row r="19" spans="1:10" hidden="1" outlineLevel="1" x14ac:dyDescent="0.35">
      <c r="A19" s="6" t="s">
        <v>16</v>
      </c>
      <c r="B19" s="11"/>
      <c r="C19" s="11"/>
      <c r="D19" s="11"/>
      <c r="E19" s="13">
        <f>E15+E16+E17+E18</f>
        <v>1018.41</v>
      </c>
      <c r="F19" s="13">
        <f>F15+F16+F17+F18</f>
        <v>25831.039999999997</v>
      </c>
      <c r="G19" s="13">
        <f>G15+G16+G17+G18</f>
        <v>3214.1</v>
      </c>
      <c r="H19" s="13">
        <f>H15+H16+H17+H18</f>
        <v>46179.32</v>
      </c>
      <c r="I19" s="13">
        <f>I15+I16+I17+I18</f>
        <v>100865.65</v>
      </c>
      <c r="J19" s="13">
        <f t="shared" si="2"/>
        <v>177108.52</v>
      </c>
    </row>
    <row r="20" spans="1:10" hidden="1" outlineLevel="1" x14ac:dyDescent="0.35">
      <c r="A20" s="3" t="s">
        <v>17</v>
      </c>
      <c r="B20" s="10"/>
      <c r="C20" s="12">
        <v>140</v>
      </c>
      <c r="D20" s="12">
        <v>1258.3699999999999</v>
      </c>
      <c r="E20" s="10"/>
      <c r="F20" s="10"/>
      <c r="G20" s="10"/>
      <c r="H20" s="10"/>
      <c r="I20" s="10"/>
      <c r="J20" s="12">
        <f t="shared" si="2"/>
        <v>1398.37</v>
      </c>
    </row>
    <row r="21" spans="1:10" collapsed="1" x14ac:dyDescent="0.35">
      <c r="A21" s="4" t="s">
        <v>18</v>
      </c>
      <c r="B21" s="14"/>
      <c r="C21" s="15">
        <f t="shared" ref="C21:I21" si="3">C19+C20</f>
        <v>140</v>
      </c>
      <c r="D21" s="15">
        <f t="shared" si="3"/>
        <v>1258.3699999999999</v>
      </c>
      <c r="E21" s="15">
        <f t="shared" si="3"/>
        <v>1018.41</v>
      </c>
      <c r="F21" s="15">
        <f t="shared" si="3"/>
        <v>25831.039999999997</v>
      </c>
      <c r="G21" s="15">
        <f t="shared" si="3"/>
        <v>3214.1</v>
      </c>
      <c r="H21" s="15">
        <f t="shared" si="3"/>
        <v>46179.32</v>
      </c>
      <c r="I21" s="15">
        <f t="shared" si="3"/>
        <v>100865.65</v>
      </c>
      <c r="J21" s="15">
        <f t="shared" si="2"/>
        <v>178506.88999999998</v>
      </c>
    </row>
    <row r="22" spans="1:10" x14ac:dyDescent="0.35">
      <c r="A22" s="4" t="s">
        <v>19</v>
      </c>
      <c r="B22" s="11"/>
      <c r="C22" s="13">
        <f t="shared" ref="C22:I22" si="4">C13-C21</f>
        <v>31066</v>
      </c>
      <c r="D22" s="13">
        <f t="shared" si="4"/>
        <v>21273.060000000005</v>
      </c>
      <c r="E22" s="13">
        <f t="shared" si="4"/>
        <v>171873.73</v>
      </c>
      <c r="F22" s="13">
        <f t="shared" si="4"/>
        <v>357018.97000000003</v>
      </c>
      <c r="G22" s="13">
        <f t="shared" si="4"/>
        <v>764785.9</v>
      </c>
      <c r="H22" s="13">
        <f t="shared" si="4"/>
        <v>778311.25</v>
      </c>
      <c r="I22" s="13">
        <f t="shared" si="4"/>
        <v>-100865.65</v>
      </c>
      <c r="J22" s="13">
        <f t="shared" si="2"/>
        <v>2023463.2600000002</v>
      </c>
    </row>
    <row r="23" spans="1:10" x14ac:dyDescent="0.35">
      <c r="A23" s="2" t="s">
        <v>20</v>
      </c>
      <c r="B23" s="10"/>
      <c r="C23" s="10"/>
      <c r="D23" s="10"/>
      <c r="E23" s="10"/>
      <c r="F23" s="10"/>
      <c r="G23" s="10"/>
      <c r="H23" s="10"/>
      <c r="I23" s="10"/>
    </row>
    <row r="24" spans="1:10" hidden="1" outlineLevel="1" x14ac:dyDescent="0.35">
      <c r="A24" s="3" t="s">
        <v>21</v>
      </c>
      <c r="B24" s="10"/>
      <c r="C24" s="10"/>
      <c r="D24" s="10"/>
      <c r="E24" s="12">
        <v>107204.56</v>
      </c>
      <c r="F24" s="12">
        <v>569510.96</v>
      </c>
      <c r="G24" s="12">
        <v>423520</v>
      </c>
      <c r="H24" s="10"/>
      <c r="I24" s="10"/>
      <c r="J24" s="12">
        <f t="shared" ref="J24:J46" si="5">B24+C24+D24+E24+F24+G24+H24+I24</f>
        <v>1100235.52</v>
      </c>
    </row>
    <row r="25" spans="1:10" hidden="1" outlineLevel="1" x14ac:dyDescent="0.35">
      <c r="A25" s="3" t="s">
        <v>22</v>
      </c>
      <c r="B25" s="10"/>
      <c r="C25" s="12">
        <v>9718.61</v>
      </c>
      <c r="D25" s="12">
        <v>1300.6500000000001</v>
      </c>
      <c r="E25" s="10"/>
      <c r="F25" s="10"/>
      <c r="G25" s="10"/>
      <c r="H25" s="10"/>
      <c r="I25" s="10"/>
      <c r="J25" s="12">
        <f t="shared" si="5"/>
        <v>11019.26</v>
      </c>
    </row>
    <row r="26" spans="1:10" hidden="1" outlineLevel="2" x14ac:dyDescent="0.35">
      <c r="A26" s="5" t="s">
        <v>23</v>
      </c>
      <c r="B26" s="10"/>
      <c r="C26" s="10"/>
      <c r="D26" s="10"/>
      <c r="E26" s="10"/>
      <c r="F26" s="10"/>
      <c r="G26" s="10"/>
      <c r="H26" s="12">
        <v>84539.15</v>
      </c>
      <c r="I26" s="12">
        <v>0</v>
      </c>
      <c r="J26" s="12">
        <f t="shared" si="5"/>
        <v>84539.15</v>
      </c>
    </row>
    <row r="27" spans="1:10" hidden="1" outlineLevel="2" x14ac:dyDescent="0.35">
      <c r="A27" s="5" t="s">
        <v>24</v>
      </c>
      <c r="B27" s="10"/>
      <c r="C27" s="10"/>
      <c r="D27" s="10"/>
      <c r="E27" s="10"/>
      <c r="F27" s="10"/>
      <c r="G27" s="10"/>
      <c r="H27" s="12">
        <v>7741.43</v>
      </c>
      <c r="I27" s="12">
        <v>332.42</v>
      </c>
      <c r="J27" s="12">
        <f t="shared" si="5"/>
        <v>8073.85</v>
      </c>
    </row>
    <row r="28" spans="1:10" hidden="1" outlineLevel="2" x14ac:dyDescent="0.35">
      <c r="A28" s="5" t="s">
        <v>25</v>
      </c>
      <c r="B28" s="10"/>
      <c r="C28" s="10"/>
      <c r="D28" s="10"/>
      <c r="E28" s="10"/>
      <c r="F28" s="10"/>
      <c r="G28" s="10"/>
      <c r="H28" s="12">
        <v>14272.89</v>
      </c>
      <c r="I28" s="12">
        <v>0</v>
      </c>
      <c r="J28" s="12">
        <f t="shared" si="5"/>
        <v>14272.89</v>
      </c>
    </row>
    <row r="29" spans="1:10" hidden="1" outlineLevel="2" x14ac:dyDescent="0.35">
      <c r="A29" s="5" t="s">
        <v>26</v>
      </c>
      <c r="B29" s="10"/>
      <c r="C29" s="10"/>
      <c r="D29" s="10"/>
      <c r="E29" s="10"/>
      <c r="F29" s="10"/>
      <c r="G29" s="12">
        <v>716031.13</v>
      </c>
      <c r="H29" s="12">
        <v>1873489.78</v>
      </c>
      <c r="I29" s="12">
        <v>1404257.3</v>
      </c>
      <c r="J29" s="12">
        <f t="shared" si="5"/>
        <v>3993778.21</v>
      </c>
    </row>
    <row r="30" spans="1:10" hidden="1" outlineLevel="2" x14ac:dyDescent="0.35">
      <c r="A30" s="5" t="s">
        <v>27</v>
      </c>
      <c r="B30" s="10"/>
      <c r="C30" s="10"/>
      <c r="D30" s="10"/>
      <c r="E30" s="10"/>
      <c r="F30" s="10"/>
      <c r="G30" s="12">
        <v>12563.43</v>
      </c>
      <c r="H30" s="12">
        <v>8058.02</v>
      </c>
      <c r="I30" s="12">
        <v>7829.5</v>
      </c>
      <c r="J30" s="12">
        <f t="shared" si="5"/>
        <v>28450.95</v>
      </c>
    </row>
    <row r="31" spans="1:10" hidden="1" outlineLevel="2" x14ac:dyDescent="0.35">
      <c r="A31" s="5" t="s">
        <v>28</v>
      </c>
      <c r="B31" s="10"/>
      <c r="C31" s="10"/>
      <c r="D31" s="10"/>
      <c r="E31" s="10"/>
      <c r="F31" s="10"/>
      <c r="G31" s="12">
        <v>62.87</v>
      </c>
      <c r="H31" s="12">
        <v>2022.74</v>
      </c>
      <c r="I31" s="12">
        <v>2383.44</v>
      </c>
      <c r="J31" s="12">
        <f t="shared" si="5"/>
        <v>4469.05</v>
      </c>
    </row>
    <row r="32" spans="1:10" hidden="1" outlineLevel="2" x14ac:dyDescent="0.35">
      <c r="A32" s="5" t="s">
        <v>29</v>
      </c>
      <c r="B32" s="10"/>
      <c r="C32" s="10"/>
      <c r="D32" s="10"/>
      <c r="E32" s="10"/>
      <c r="F32" s="10"/>
      <c r="G32" s="12">
        <v>11299.47</v>
      </c>
      <c r="H32" s="12">
        <v>12307</v>
      </c>
      <c r="I32" s="12">
        <v>32247.01</v>
      </c>
      <c r="J32" s="12">
        <f t="shared" si="5"/>
        <v>55853.479999999996</v>
      </c>
    </row>
    <row r="33" spans="1:10" hidden="1" outlineLevel="2" x14ac:dyDescent="0.35">
      <c r="A33" s="5" t="s">
        <v>30</v>
      </c>
      <c r="B33" s="10"/>
      <c r="C33" s="10"/>
      <c r="D33" s="10"/>
      <c r="E33" s="10"/>
      <c r="F33" s="10"/>
      <c r="G33" s="12">
        <v>1196.5</v>
      </c>
      <c r="H33" s="12">
        <v>1145.26</v>
      </c>
      <c r="I33" s="12">
        <v>5638.84</v>
      </c>
      <c r="J33" s="12">
        <f t="shared" si="5"/>
        <v>7980.6</v>
      </c>
    </row>
    <row r="34" spans="1:10" hidden="1" outlineLevel="2" x14ac:dyDescent="0.35">
      <c r="A34" s="5" t="s">
        <v>31</v>
      </c>
      <c r="B34" s="10"/>
      <c r="C34" s="10"/>
      <c r="D34" s="10"/>
      <c r="E34" s="10"/>
      <c r="F34" s="10"/>
      <c r="G34" s="12">
        <v>77669.820000000007</v>
      </c>
      <c r="H34" s="12">
        <v>99144.22</v>
      </c>
      <c r="I34" s="12">
        <v>100147.73</v>
      </c>
      <c r="J34" s="12">
        <f t="shared" si="5"/>
        <v>276961.77</v>
      </c>
    </row>
    <row r="35" spans="1:10" hidden="1" outlineLevel="2" x14ac:dyDescent="0.35">
      <c r="A35" s="5" t="s">
        <v>32</v>
      </c>
      <c r="B35" s="10"/>
      <c r="C35" s="10"/>
      <c r="D35" s="10"/>
      <c r="E35" s="10"/>
      <c r="F35" s="10"/>
      <c r="G35" s="12">
        <v>8208.65</v>
      </c>
      <c r="H35" s="12">
        <v>0</v>
      </c>
      <c r="I35" s="10"/>
      <c r="J35" s="12">
        <f t="shared" si="5"/>
        <v>8208.65</v>
      </c>
    </row>
    <row r="36" spans="1:10" hidden="1" outlineLevel="1" x14ac:dyDescent="0.35">
      <c r="A36" s="6" t="s">
        <v>33</v>
      </c>
      <c r="B36" s="11"/>
      <c r="C36" s="13">
        <f>C25+C26+C27+C28+C29+C30+C31+C32+C33+C34+C35</f>
        <v>9718.61</v>
      </c>
      <c r="D36" s="13">
        <f>D25+D26+D27+D28+D29+D30+D31+D32+D33+D34+D35</f>
        <v>1300.6500000000001</v>
      </c>
      <c r="E36" s="11"/>
      <c r="F36" s="11"/>
      <c r="G36" s="13">
        <f>G25+G26+G27+G28+G29+G30+G31+G32+G33+G34+G35</f>
        <v>827031.87</v>
      </c>
      <c r="H36" s="13">
        <f>H25+H26+H27+H28+H29+H30+H31+H32+H33+H34+H35</f>
        <v>2102720.4900000002</v>
      </c>
      <c r="I36" s="13">
        <f>I25+I26+I27+I28+I29+I30+I31+I32+I33+I34+I35</f>
        <v>1552836.24</v>
      </c>
      <c r="J36" s="13">
        <f t="shared" si="5"/>
        <v>4493607.8600000003</v>
      </c>
    </row>
    <row r="37" spans="1:10" hidden="1" outlineLevel="1" x14ac:dyDescent="0.35">
      <c r="A37" s="3" t="s">
        <v>34</v>
      </c>
      <c r="B37" s="10"/>
      <c r="C37" s="10"/>
      <c r="D37" s="10"/>
      <c r="E37" s="10"/>
      <c r="F37" s="10"/>
      <c r="G37" s="10"/>
      <c r="H37" s="10"/>
      <c r="I37" s="12">
        <v>531.99</v>
      </c>
      <c r="J37" s="12">
        <f t="shared" si="5"/>
        <v>531.99</v>
      </c>
    </row>
    <row r="38" spans="1:10" hidden="1" outlineLevel="2" x14ac:dyDescent="0.35">
      <c r="A38" s="5" t="s">
        <v>35</v>
      </c>
      <c r="B38" s="10"/>
      <c r="C38" s="10"/>
      <c r="D38" s="10"/>
      <c r="E38" s="10"/>
      <c r="F38" s="10"/>
      <c r="G38" s="12">
        <v>70769.23</v>
      </c>
      <c r="H38" s="12">
        <v>115884.56</v>
      </c>
      <c r="I38" s="12">
        <v>0</v>
      </c>
      <c r="J38" s="12">
        <f t="shared" si="5"/>
        <v>186653.78999999998</v>
      </c>
    </row>
    <row r="39" spans="1:10" hidden="1" outlineLevel="2" x14ac:dyDescent="0.35">
      <c r="A39" s="5" t="s">
        <v>36</v>
      </c>
      <c r="B39" s="10"/>
      <c r="C39" s="10"/>
      <c r="D39" s="10"/>
      <c r="E39" s="10"/>
      <c r="F39" s="10"/>
      <c r="G39" s="12">
        <v>3879.45</v>
      </c>
      <c r="H39" s="12">
        <v>5101.99</v>
      </c>
      <c r="I39" s="12">
        <v>4674.9399999999996</v>
      </c>
      <c r="J39" s="12">
        <f t="shared" si="5"/>
        <v>13656.379999999997</v>
      </c>
    </row>
    <row r="40" spans="1:10" hidden="1" outlineLevel="2" x14ac:dyDescent="0.35">
      <c r="A40" s="5" t="s">
        <v>37</v>
      </c>
      <c r="B40" s="10"/>
      <c r="C40" s="10"/>
      <c r="D40" s="10"/>
      <c r="E40" s="10"/>
      <c r="F40" s="10"/>
      <c r="G40" s="12">
        <v>11.99</v>
      </c>
      <c r="H40" s="10"/>
      <c r="I40" s="10"/>
      <c r="J40" s="12">
        <f t="shared" si="5"/>
        <v>11.99</v>
      </c>
    </row>
    <row r="41" spans="1:10" hidden="1" outlineLevel="2" x14ac:dyDescent="0.35">
      <c r="A41" s="5" t="s">
        <v>38</v>
      </c>
      <c r="B41" s="10"/>
      <c r="C41" s="10"/>
      <c r="D41" s="10"/>
      <c r="E41" s="10"/>
      <c r="F41" s="10"/>
      <c r="G41" s="12">
        <v>728.56</v>
      </c>
      <c r="H41" s="12">
        <v>918.08</v>
      </c>
      <c r="I41" s="10"/>
      <c r="J41" s="12">
        <f t="shared" si="5"/>
        <v>1646.6399999999999</v>
      </c>
    </row>
    <row r="42" spans="1:10" hidden="1" outlineLevel="2" x14ac:dyDescent="0.35">
      <c r="A42" s="5" t="s">
        <v>39</v>
      </c>
      <c r="B42" s="10"/>
      <c r="C42" s="10"/>
      <c r="D42" s="10"/>
      <c r="E42" s="10"/>
      <c r="F42" s="10"/>
      <c r="G42" s="12">
        <v>864.3</v>
      </c>
      <c r="H42" s="12">
        <v>3294.26</v>
      </c>
      <c r="I42" s="12">
        <v>369.62</v>
      </c>
      <c r="J42" s="12">
        <f t="shared" si="5"/>
        <v>4528.18</v>
      </c>
    </row>
    <row r="43" spans="1:10" hidden="1" outlineLevel="2" x14ac:dyDescent="0.35">
      <c r="A43" s="5" t="s">
        <v>40</v>
      </c>
      <c r="B43" s="10"/>
      <c r="C43" s="10"/>
      <c r="D43" s="10"/>
      <c r="E43" s="10"/>
      <c r="F43" s="10"/>
      <c r="G43" s="12">
        <v>5305.2</v>
      </c>
      <c r="H43" s="12">
        <v>2734.7</v>
      </c>
      <c r="I43" s="12">
        <v>495.24</v>
      </c>
      <c r="J43" s="12">
        <f t="shared" si="5"/>
        <v>8535.14</v>
      </c>
    </row>
    <row r="44" spans="1:10" hidden="1" outlineLevel="2" x14ac:dyDescent="0.35">
      <c r="A44" s="5" t="s">
        <v>41</v>
      </c>
      <c r="B44" s="10"/>
      <c r="C44" s="10"/>
      <c r="D44" s="10"/>
      <c r="E44" s="10"/>
      <c r="F44" s="10"/>
      <c r="G44" s="12">
        <v>24.39</v>
      </c>
      <c r="H44" s="10"/>
      <c r="I44" s="10"/>
      <c r="J44" s="12">
        <f t="shared" si="5"/>
        <v>24.39</v>
      </c>
    </row>
    <row r="45" spans="1:10" hidden="1" outlineLevel="2" x14ac:dyDescent="0.35">
      <c r="A45" s="5" t="s">
        <v>42</v>
      </c>
      <c r="B45" s="10"/>
      <c r="C45" s="10"/>
      <c r="D45" s="10"/>
      <c r="E45" s="10"/>
      <c r="F45" s="10"/>
      <c r="G45" s="12">
        <v>711.05</v>
      </c>
      <c r="H45" s="10"/>
      <c r="I45" s="10"/>
      <c r="J45" s="12">
        <f t="shared" si="5"/>
        <v>711.05</v>
      </c>
    </row>
    <row r="46" spans="1:10" hidden="1" outlineLevel="1" x14ac:dyDescent="0.35">
      <c r="A46" s="6" t="s">
        <v>43</v>
      </c>
      <c r="B46" s="11"/>
      <c r="C46" s="11"/>
      <c r="D46" s="11"/>
      <c r="E46" s="11"/>
      <c r="F46" s="11"/>
      <c r="G46" s="13">
        <f>G37+G38+G39+G40+G41+G42+G43+G44+G45</f>
        <v>82294.17</v>
      </c>
      <c r="H46" s="13">
        <f>H37+H38+H39+H40+H41+H42+H43+H44+H45</f>
        <v>127933.59</v>
      </c>
      <c r="I46" s="13">
        <f>I37+I38+I39+I40+I41+I42+I43+I44+I45</f>
        <v>6071.7899999999991</v>
      </c>
      <c r="J46" s="13">
        <f t="shared" si="5"/>
        <v>216299.55000000002</v>
      </c>
    </row>
    <row r="47" spans="1:10" hidden="1" outlineLevel="1" x14ac:dyDescent="0.35">
      <c r="A47" s="3" t="s">
        <v>44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idden="1" outlineLevel="2" x14ac:dyDescent="0.35">
      <c r="A48" s="5" t="s">
        <v>45</v>
      </c>
      <c r="B48" s="10"/>
      <c r="C48" s="10"/>
      <c r="D48" s="10"/>
      <c r="E48" s="10"/>
      <c r="F48" s="10"/>
      <c r="G48" s="12">
        <v>94500.06</v>
      </c>
      <c r="H48" s="12">
        <v>216837.36</v>
      </c>
      <c r="I48" s="12">
        <v>146995.70000000001</v>
      </c>
      <c r="J48" s="12">
        <f t="shared" ref="J48:J56" si="6">B48+C48+D48+E48+F48+G48+H48+I48</f>
        <v>458333.12</v>
      </c>
    </row>
    <row r="49" spans="1:10" hidden="1" outlineLevel="2" x14ac:dyDescent="0.35">
      <c r="A49" s="5" t="s">
        <v>46</v>
      </c>
      <c r="B49" s="10"/>
      <c r="C49" s="10"/>
      <c r="D49" s="10"/>
      <c r="E49" s="10"/>
      <c r="F49" s="10"/>
      <c r="G49" s="12">
        <v>4169.63</v>
      </c>
      <c r="H49" s="12">
        <v>10808.24</v>
      </c>
      <c r="I49" s="12">
        <v>11582.08</v>
      </c>
      <c r="J49" s="12">
        <f t="shared" si="6"/>
        <v>26559.949999999997</v>
      </c>
    </row>
    <row r="50" spans="1:10" hidden="1" outlineLevel="2" x14ac:dyDescent="0.35">
      <c r="A50" s="5" t="s">
        <v>47</v>
      </c>
      <c r="B50" s="10"/>
      <c r="C50" s="10"/>
      <c r="D50" s="10"/>
      <c r="E50" s="10"/>
      <c r="F50" s="10"/>
      <c r="G50" s="10"/>
      <c r="H50" s="12">
        <v>584.16</v>
      </c>
      <c r="I50" s="12">
        <v>36.770000000000003</v>
      </c>
      <c r="J50" s="12">
        <f t="shared" si="6"/>
        <v>620.92999999999995</v>
      </c>
    </row>
    <row r="51" spans="1:10" hidden="1" outlineLevel="2" x14ac:dyDescent="0.35">
      <c r="A51" s="5" t="s">
        <v>48</v>
      </c>
      <c r="B51" s="10"/>
      <c r="C51" s="10"/>
      <c r="D51" s="10"/>
      <c r="E51" s="10"/>
      <c r="F51" s="10"/>
      <c r="G51" s="12">
        <v>1573.11</v>
      </c>
      <c r="H51" s="12">
        <v>2636.98</v>
      </c>
      <c r="I51" s="12">
        <v>521.25</v>
      </c>
      <c r="J51" s="12">
        <f t="shared" si="6"/>
        <v>4731.34</v>
      </c>
    </row>
    <row r="52" spans="1:10" hidden="1" outlineLevel="2" x14ac:dyDescent="0.35">
      <c r="A52" s="5" t="s">
        <v>49</v>
      </c>
      <c r="B52" s="10"/>
      <c r="C52" s="10"/>
      <c r="D52" s="10"/>
      <c r="E52" s="10"/>
      <c r="F52" s="10"/>
      <c r="G52" s="12">
        <v>201.36</v>
      </c>
      <c r="H52" s="12">
        <v>8345.06</v>
      </c>
      <c r="I52" s="12">
        <v>2693.19</v>
      </c>
      <c r="J52" s="12">
        <f t="shared" si="6"/>
        <v>11239.61</v>
      </c>
    </row>
    <row r="53" spans="1:10" hidden="1" outlineLevel="2" x14ac:dyDescent="0.35">
      <c r="A53" s="5" t="s">
        <v>50</v>
      </c>
      <c r="B53" s="10"/>
      <c r="C53" s="10"/>
      <c r="D53" s="10"/>
      <c r="E53" s="10"/>
      <c r="F53" s="10"/>
      <c r="G53" s="12">
        <v>32.619999999999997</v>
      </c>
      <c r="H53" s="12">
        <v>58.49</v>
      </c>
      <c r="I53" s="10"/>
      <c r="J53" s="12">
        <f t="shared" si="6"/>
        <v>91.11</v>
      </c>
    </row>
    <row r="54" spans="1:10" hidden="1" outlineLevel="2" x14ac:dyDescent="0.35">
      <c r="A54" s="5" t="s">
        <v>51</v>
      </c>
      <c r="B54" s="10"/>
      <c r="C54" s="10"/>
      <c r="D54" s="10"/>
      <c r="E54" s="10"/>
      <c r="F54" s="10"/>
      <c r="G54" s="12">
        <v>16200.3</v>
      </c>
      <c r="H54" s="12">
        <v>38689.26</v>
      </c>
      <c r="I54" s="10"/>
      <c r="J54" s="12">
        <f t="shared" si="6"/>
        <v>54889.56</v>
      </c>
    </row>
    <row r="55" spans="1:10" hidden="1" outlineLevel="2" x14ac:dyDescent="0.35">
      <c r="A55" s="5" t="s">
        <v>52</v>
      </c>
      <c r="B55" s="10"/>
      <c r="C55" s="10"/>
      <c r="D55" s="10"/>
      <c r="E55" s="10"/>
      <c r="F55" s="10"/>
      <c r="G55" s="12">
        <v>28000</v>
      </c>
      <c r="H55" s="12">
        <v>30683.15</v>
      </c>
      <c r="I55" s="12">
        <v>0</v>
      </c>
      <c r="J55" s="12">
        <f t="shared" si="6"/>
        <v>58683.15</v>
      </c>
    </row>
    <row r="56" spans="1:10" hidden="1" outlineLevel="1" x14ac:dyDescent="0.35">
      <c r="A56" s="6" t="s">
        <v>53</v>
      </c>
      <c r="B56" s="11"/>
      <c r="C56" s="11"/>
      <c r="D56" s="11"/>
      <c r="E56" s="11"/>
      <c r="F56" s="11"/>
      <c r="G56" s="13">
        <f>G47+G48+G49+G50+G51+G52+G53+G54+G55</f>
        <v>144677.08000000002</v>
      </c>
      <c r="H56" s="13">
        <f>H47+H48+H49+H50+H51+H52+H53+H54+H55</f>
        <v>308642.7</v>
      </c>
      <c r="I56" s="13">
        <f>I47+I48+I49+I50+I51+I52+I53+I54+I55</f>
        <v>161828.99</v>
      </c>
      <c r="J56" s="13">
        <f t="shared" si="6"/>
        <v>615148.77</v>
      </c>
    </row>
    <row r="57" spans="1:10" hidden="1" outlineLevel="1" x14ac:dyDescent="0.35">
      <c r="A57" s="3" t="s">
        <v>54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hidden="1" outlineLevel="2" x14ac:dyDescent="0.35">
      <c r="A58" s="5" t="s">
        <v>55</v>
      </c>
      <c r="B58" s="10"/>
      <c r="C58" s="10"/>
      <c r="D58" s="10"/>
      <c r="E58" s="10"/>
      <c r="F58" s="10"/>
      <c r="G58" s="12">
        <v>149.99</v>
      </c>
      <c r="H58" s="10"/>
      <c r="I58" s="12">
        <v>149.99</v>
      </c>
      <c r="J58" s="12">
        <f t="shared" ref="J58:J65" si="7">B58+C58+D58+E58+F58+G58+H58+I58</f>
        <v>299.98</v>
      </c>
    </row>
    <row r="59" spans="1:10" hidden="1" outlineLevel="2" x14ac:dyDescent="0.35">
      <c r="A59" s="5" t="s">
        <v>56</v>
      </c>
      <c r="B59" s="10"/>
      <c r="C59" s="10"/>
      <c r="D59" s="10"/>
      <c r="E59" s="10"/>
      <c r="F59" s="10"/>
      <c r="G59" s="12">
        <v>477.24</v>
      </c>
      <c r="H59" s="12">
        <v>726.83</v>
      </c>
      <c r="I59" s="12">
        <v>750.59</v>
      </c>
      <c r="J59" s="12">
        <f t="shared" si="7"/>
        <v>1954.6600000000003</v>
      </c>
    </row>
    <row r="60" spans="1:10" hidden="1" outlineLevel="2" x14ac:dyDescent="0.35">
      <c r="A60" s="5" t="s">
        <v>57</v>
      </c>
      <c r="B60" s="10"/>
      <c r="C60" s="10"/>
      <c r="D60" s="10"/>
      <c r="E60" s="10"/>
      <c r="F60" s="10"/>
      <c r="G60" s="12">
        <v>2945.88</v>
      </c>
      <c r="H60" s="12">
        <v>8002.79</v>
      </c>
      <c r="I60" s="12">
        <v>5093.01</v>
      </c>
      <c r="J60" s="12">
        <f t="shared" si="7"/>
        <v>16041.68</v>
      </c>
    </row>
    <row r="61" spans="1:10" hidden="1" outlineLevel="2" x14ac:dyDescent="0.35">
      <c r="A61" s="5" t="s">
        <v>58</v>
      </c>
      <c r="B61" s="10"/>
      <c r="C61" s="10"/>
      <c r="D61" s="10"/>
      <c r="E61" s="10"/>
      <c r="F61" s="10"/>
      <c r="G61" s="12">
        <v>27032</v>
      </c>
      <c r="H61" s="12">
        <v>27073.24</v>
      </c>
      <c r="I61" s="12">
        <v>3807.07</v>
      </c>
      <c r="J61" s="12">
        <f t="shared" si="7"/>
        <v>57912.310000000005</v>
      </c>
    </row>
    <row r="62" spans="1:10" hidden="1" outlineLevel="2" x14ac:dyDescent="0.35">
      <c r="A62" s="5" t="s">
        <v>59</v>
      </c>
      <c r="B62" s="10"/>
      <c r="C62" s="10"/>
      <c r="D62" s="10"/>
      <c r="E62" s="10"/>
      <c r="F62" s="10"/>
      <c r="G62" s="12">
        <v>118.99</v>
      </c>
      <c r="H62" s="12">
        <v>612.95000000000005</v>
      </c>
      <c r="I62" s="10"/>
      <c r="J62" s="12">
        <f t="shared" si="7"/>
        <v>731.94</v>
      </c>
    </row>
    <row r="63" spans="1:10" hidden="1" outlineLevel="2" x14ac:dyDescent="0.35">
      <c r="A63" s="5" t="s">
        <v>60</v>
      </c>
      <c r="B63" s="10"/>
      <c r="C63" s="10"/>
      <c r="D63" s="10"/>
      <c r="E63" s="10"/>
      <c r="F63" s="10"/>
      <c r="G63" s="12">
        <v>15130.22</v>
      </c>
      <c r="H63" s="12">
        <v>35449.99</v>
      </c>
      <c r="I63" s="10"/>
      <c r="J63" s="12">
        <f t="shared" si="7"/>
        <v>50580.21</v>
      </c>
    </row>
    <row r="64" spans="1:10" hidden="1" outlineLevel="2" x14ac:dyDescent="0.35">
      <c r="A64" s="5" t="s">
        <v>61</v>
      </c>
      <c r="B64" s="10"/>
      <c r="C64" s="10"/>
      <c r="D64" s="10"/>
      <c r="E64" s="10"/>
      <c r="F64" s="10"/>
      <c r="G64" s="12">
        <v>680.7</v>
      </c>
      <c r="H64" s="10"/>
      <c r="I64" s="10"/>
      <c r="J64" s="12">
        <f t="shared" si="7"/>
        <v>680.7</v>
      </c>
    </row>
    <row r="65" spans="1:10" hidden="1" outlineLevel="1" x14ac:dyDescent="0.35">
      <c r="A65" s="6" t="s">
        <v>62</v>
      </c>
      <c r="B65" s="11"/>
      <c r="C65" s="11"/>
      <c r="D65" s="11"/>
      <c r="E65" s="11"/>
      <c r="F65" s="11"/>
      <c r="G65" s="13">
        <f>G57+G58+G59+G60+G61+G62+G63+G64</f>
        <v>46535.02</v>
      </c>
      <c r="H65" s="13">
        <f>H57+H58+H59+H60+H61+H62+H63+H64</f>
        <v>71865.799999999988</v>
      </c>
      <c r="I65" s="13">
        <f>I57+I58+I59+I60+I61+I62+I63+I64</f>
        <v>9800.66</v>
      </c>
      <c r="J65" s="13">
        <f t="shared" si="7"/>
        <v>128201.47999999998</v>
      </c>
    </row>
    <row r="66" spans="1:10" hidden="1" outlineLevel="1" x14ac:dyDescent="0.35">
      <c r="A66" s="3" t="s">
        <v>63</v>
      </c>
      <c r="B66" s="10"/>
      <c r="C66" s="10"/>
      <c r="D66" s="10"/>
      <c r="E66" s="10"/>
      <c r="F66" s="10"/>
      <c r="G66" s="10"/>
      <c r="H66" s="10"/>
      <c r="I66" s="10"/>
      <c r="J66" s="10"/>
    </row>
    <row r="67" spans="1:10" hidden="1" outlineLevel="2" x14ac:dyDescent="0.35">
      <c r="A67" s="5" t="s">
        <v>64</v>
      </c>
      <c r="B67" s="10"/>
      <c r="C67" s="10"/>
      <c r="D67" s="12">
        <v>22500</v>
      </c>
      <c r="E67" s="12">
        <v>172.73</v>
      </c>
      <c r="F67" s="12">
        <v>-97000</v>
      </c>
      <c r="G67" s="12">
        <v>-242058.92</v>
      </c>
      <c r="H67" s="10"/>
      <c r="I67" s="10"/>
      <c r="J67" s="12">
        <f t="shared" ref="J67:J114" si="8">B67+C67+D67+E67+F67+G67+H67+I67</f>
        <v>-316386.19</v>
      </c>
    </row>
    <row r="68" spans="1:10" hidden="1" outlineLevel="3" x14ac:dyDescent="0.35">
      <c r="A68" s="7" t="s">
        <v>65</v>
      </c>
      <c r="B68" s="10"/>
      <c r="C68" s="12">
        <v>4112.68</v>
      </c>
      <c r="D68" s="12">
        <v>1443.6</v>
      </c>
      <c r="E68" s="10"/>
      <c r="F68" s="10"/>
      <c r="G68" s="10"/>
      <c r="H68" s="10"/>
      <c r="I68" s="10"/>
      <c r="J68" s="12">
        <f t="shared" si="8"/>
        <v>5556.2800000000007</v>
      </c>
    </row>
    <row r="69" spans="1:10" hidden="1" outlineLevel="3" x14ac:dyDescent="0.35">
      <c r="A69" s="7" t="s">
        <v>66</v>
      </c>
      <c r="B69" s="10"/>
      <c r="C69" s="10"/>
      <c r="D69" s="12">
        <v>2641.5</v>
      </c>
      <c r="E69" s="10"/>
      <c r="F69" s="10"/>
      <c r="G69" s="10"/>
      <c r="H69" s="10"/>
      <c r="I69" s="10"/>
      <c r="J69" s="12">
        <f t="shared" si="8"/>
        <v>2641.5</v>
      </c>
    </row>
    <row r="70" spans="1:10" hidden="1" outlineLevel="3" x14ac:dyDescent="0.35">
      <c r="A70" s="7" t="s">
        <v>67</v>
      </c>
      <c r="B70" s="10"/>
      <c r="C70" s="12">
        <v>8228.6200000000008</v>
      </c>
      <c r="D70" s="12">
        <v>50.09</v>
      </c>
      <c r="E70" s="10"/>
      <c r="F70" s="10"/>
      <c r="G70" s="10"/>
      <c r="H70" s="10"/>
      <c r="I70" s="10"/>
      <c r="J70" s="12">
        <f t="shared" si="8"/>
        <v>8278.7100000000009</v>
      </c>
    </row>
    <row r="71" spans="1:10" hidden="1" outlineLevel="3" x14ac:dyDescent="0.35">
      <c r="A71" s="7" t="s">
        <v>68</v>
      </c>
      <c r="B71" s="10"/>
      <c r="C71" s="12">
        <v>7610.52</v>
      </c>
      <c r="D71" s="12">
        <v>50.09</v>
      </c>
      <c r="E71" s="10"/>
      <c r="F71" s="10"/>
      <c r="G71" s="10"/>
      <c r="H71" s="10"/>
      <c r="I71" s="10"/>
      <c r="J71" s="12">
        <f t="shared" si="8"/>
        <v>7660.6100000000006</v>
      </c>
    </row>
    <row r="72" spans="1:10" hidden="1" outlineLevel="3" x14ac:dyDescent="0.35">
      <c r="A72" s="7" t="s">
        <v>69</v>
      </c>
      <c r="B72" s="10"/>
      <c r="C72" s="10"/>
      <c r="D72" s="12">
        <v>73106.759999999995</v>
      </c>
      <c r="E72" s="12">
        <v>187014.05</v>
      </c>
      <c r="F72" s="12">
        <v>216027.46</v>
      </c>
      <c r="G72" s="12">
        <v>894866.61</v>
      </c>
      <c r="H72" s="12">
        <v>155957.74</v>
      </c>
      <c r="I72" s="12">
        <v>164569.18</v>
      </c>
      <c r="J72" s="12">
        <f t="shared" si="8"/>
        <v>1691541.7999999998</v>
      </c>
    </row>
    <row r="73" spans="1:10" hidden="1" outlineLevel="3" x14ac:dyDescent="0.35">
      <c r="A73" s="7" t="s">
        <v>70</v>
      </c>
      <c r="B73" s="10"/>
      <c r="C73" s="12">
        <v>4707.67</v>
      </c>
      <c r="D73" s="12">
        <v>4300.5200000000004</v>
      </c>
      <c r="E73" s="10"/>
      <c r="F73" s="10"/>
      <c r="G73" s="10"/>
      <c r="H73" s="10"/>
      <c r="I73" s="10"/>
      <c r="J73" s="12">
        <f t="shared" si="8"/>
        <v>9008.19</v>
      </c>
    </row>
    <row r="74" spans="1:10" hidden="1" outlineLevel="3" x14ac:dyDescent="0.35">
      <c r="A74" s="7" t="s">
        <v>71</v>
      </c>
      <c r="B74" s="10"/>
      <c r="C74" s="10"/>
      <c r="D74" s="10"/>
      <c r="E74" s="10"/>
      <c r="F74" s="12">
        <v>4458.97</v>
      </c>
      <c r="G74" s="12">
        <v>13469.81</v>
      </c>
      <c r="H74" s="12">
        <v>23321.11</v>
      </c>
      <c r="I74" s="12">
        <v>17536.689999999999</v>
      </c>
      <c r="J74" s="12">
        <f t="shared" si="8"/>
        <v>58786.58</v>
      </c>
    </row>
    <row r="75" spans="1:10" hidden="1" outlineLevel="3" x14ac:dyDescent="0.35">
      <c r="A75" s="7" t="s">
        <v>72</v>
      </c>
      <c r="B75" s="10"/>
      <c r="C75" s="10"/>
      <c r="D75" s="12">
        <v>6984.58</v>
      </c>
      <c r="E75" s="12">
        <v>33597.97</v>
      </c>
      <c r="F75" s="12">
        <v>76853.119999999995</v>
      </c>
      <c r="G75" s="12">
        <v>116377.59</v>
      </c>
      <c r="H75" s="12">
        <v>141094.22</v>
      </c>
      <c r="I75" s="12">
        <v>90965.65</v>
      </c>
      <c r="J75" s="12">
        <f t="shared" si="8"/>
        <v>465873.13</v>
      </c>
    </row>
    <row r="76" spans="1:10" hidden="1" outlineLevel="3" x14ac:dyDescent="0.35">
      <c r="A76" s="7" t="s">
        <v>73</v>
      </c>
      <c r="B76" s="10"/>
      <c r="C76" s="10"/>
      <c r="D76" s="10"/>
      <c r="E76" s="10"/>
      <c r="F76" s="10"/>
      <c r="G76" s="12">
        <v>374.45</v>
      </c>
      <c r="H76" s="10"/>
      <c r="I76" s="10"/>
      <c r="J76" s="12">
        <f t="shared" si="8"/>
        <v>374.45</v>
      </c>
    </row>
    <row r="77" spans="1:10" hidden="1" outlineLevel="3" x14ac:dyDescent="0.35">
      <c r="A77" s="7" t="s">
        <v>74</v>
      </c>
      <c r="B77" s="10"/>
      <c r="C77" s="10"/>
      <c r="D77" s="12">
        <v>354</v>
      </c>
      <c r="E77" s="12">
        <v>842</v>
      </c>
      <c r="F77" s="12">
        <v>1156</v>
      </c>
      <c r="G77" s="12">
        <v>1405.5</v>
      </c>
      <c r="H77" s="12">
        <v>1127.8499999999999</v>
      </c>
      <c r="I77" s="12">
        <v>1063.95</v>
      </c>
      <c r="J77" s="12">
        <f t="shared" si="8"/>
        <v>5949.3</v>
      </c>
    </row>
    <row r="78" spans="1:10" hidden="1" outlineLevel="2" x14ac:dyDescent="0.35">
      <c r="A78" s="8" t="s">
        <v>75</v>
      </c>
      <c r="B78" s="11"/>
      <c r="C78" s="13">
        <f t="shared" ref="C78:I78" si="9">C67+C68+C69+C70+C71+C72+C73+C74+C75+C76+C77</f>
        <v>24659.489999999998</v>
      </c>
      <c r="D78" s="13">
        <f t="shared" si="9"/>
        <v>111431.14</v>
      </c>
      <c r="E78" s="13">
        <f t="shared" si="9"/>
        <v>221626.75</v>
      </c>
      <c r="F78" s="13">
        <f t="shared" si="9"/>
        <v>201495.55</v>
      </c>
      <c r="G78" s="13">
        <f t="shared" si="9"/>
        <v>784435.03999999992</v>
      </c>
      <c r="H78" s="13">
        <f t="shared" si="9"/>
        <v>321500.91999999993</v>
      </c>
      <c r="I78" s="13">
        <f t="shared" si="9"/>
        <v>274135.47000000003</v>
      </c>
      <c r="J78" s="13">
        <f t="shared" si="8"/>
        <v>1939284.3599999996</v>
      </c>
    </row>
    <row r="79" spans="1:10" hidden="1" outlineLevel="2" x14ac:dyDescent="0.35">
      <c r="A79" s="5" t="s">
        <v>76</v>
      </c>
      <c r="B79" s="10"/>
      <c r="C79" s="10"/>
      <c r="D79" s="10"/>
      <c r="E79" s="10"/>
      <c r="F79" s="10"/>
      <c r="G79" s="12">
        <v>60369.279999999999</v>
      </c>
      <c r="H79" s="12">
        <v>41697.89</v>
      </c>
      <c r="I79" s="12">
        <v>16859.87</v>
      </c>
      <c r="J79" s="12">
        <f t="shared" si="8"/>
        <v>118927.03999999999</v>
      </c>
    </row>
    <row r="80" spans="1:10" hidden="1" outlineLevel="2" x14ac:dyDescent="0.35">
      <c r="A80" s="5" t="s">
        <v>77</v>
      </c>
      <c r="B80" s="10"/>
      <c r="C80" s="10"/>
      <c r="D80" s="10"/>
      <c r="E80" s="10"/>
      <c r="F80" s="12">
        <v>10550</v>
      </c>
      <c r="G80" s="12">
        <v>97314.95</v>
      </c>
      <c r="H80" s="12">
        <v>91001.16</v>
      </c>
      <c r="I80" s="12">
        <v>67300.009999999995</v>
      </c>
      <c r="J80" s="12">
        <f t="shared" si="8"/>
        <v>266166.12</v>
      </c>
    </row>
    <row r="81" spans="1:10" hidden="1" outlineLevel="2" x14ac:dyDescent="0.35">
      <c r="A81" s="5" t="s">
        <v>78</v>
      </c>
      <c r="B81" s="10"/>
      <c r="C81" s="10"/>
      <c r="D81" s="10"/>
      <c r="E81" s="10"/>
      <c r="F81" s="12">
        <v>269.89</v>
      </c>
      <c r="G81" s="10"/>
      <c r="H81" s="10"/>
      <c r="I81" s="12">
        <v>251.48</v>
      </c>
      <c r="J81" s="12">
        <f t="shared" si="8"/>
        <v>521.37</v>
      </c>
    </row>
    <row r="82" spans="1:10" hidden="1" outlineLevel="2" x14ac:dyDescent="0.35">
      <c r="A82" s="5" t="s">
        <v>79</v>
      </c>
      <c r="B82" s="10"/>
      <c r="C82" s="12">
        <v>101.1</v>
      </c>
      <c r="D82" s="12">
        <v>759.43</v>
      </c>
      <c r="E82" s="12">
        <v>1254.6500000000001</v>
      </c>
      <c r="F82" s="12">
        <v>2027.66</v>
      </c>
      <c r="G82" s="12">
        <v>2475.1</v>
      </c>
      <c r="H82" s="12">
        <v>2759.96</v>
      </c>
      <c r="I82" s="12">
        <v>2721.39</v>
      </c>
      <c r="J82" s="12">
        <f t="shared" si="8"/>
        <v>12099.29</v>
      </c>
    </row>
    <row r="83" spans="1:10" hidden="1" outlineLevel="2" x14ac:dyDescent="0.35">
      <c r="A83" s="5" t="s">
        <v>80</v>
      </c>
      <c r="B83" s="10"/>
      <c r="C83" s="10"/>
      <c r="D83" s="12">
        <v>5.91</v>
      </c>
      <c r="E83" s="10"/>
      <c r="F83" s="10"/>
      <c r="G83" s="12">
        <v>26378.73</v>
      </c>
      <c r="H83" s="10"/>
      <c r="I83" s="10"/>
      <c r="J83" s="12">
        <f t="shared" si="8"/>
        <v>26384.639999999999</v>
      </c>
    </row>
    <row r="84" spans="1:10" hidden="1" outlineLevel="2" x14ac:dyDescent="0.35">
      <c r="A84" s="5" t="s">
        <v>81</v>
      </c>
      <c r="B84" s="10"/>
      <c r="C84" s="12">
        <v>890.4</v>
      </c>
      <c r="D84" s="12">
        <v>1227.23</v>
      </c>
      <c r="E84" s="12">
        <v>4011.53</v>
      </c>
      <c r="F84" s="12">
        <v>21575.26</v>
      </c>
      <c r="G84" s="12">
        <v>75774.789999999994</v>
      </c>
      <c r="H84" s="12">
        <v>56699.28</v>
      </c>
      <c r="I84" s="12">
        <v>10323.75</v>
      </c>
      <c r="J84" s="12">
        <f t="shared" si="8"/>
        <v>170502.24</v>
      </c>
    </row>
    <row r="85" spans="1:10" hidden="1" outlineLevel="2" x14ac:dyDescent="0.35">
      <c r="A85" s="5" t="s">
        <v>82</v>
      </c>
      <c r="B85" s="10"/>
      <c r="C85" s="10"/>
      <c r="D85" s="10"/>
      <c r="E85" s="10"/>
      <c r="F85" s="10"/>
      <c r="G85" s="12">
        <v>464.4</v>
      </c>
      <c r="H85" s="10"/>
      <c r="I85" s="10"/>
      <c r="J85" s="12">
        <f t="shared" si="8"/>
        <v>464.4</v>
      </c>
    </row>
    <row r="86" spans="1:10" hidden="1" outlineLevel="2" x14ac:dyDescent="0.35">
      <c r="A86" s="5" t="s">
        <v>83</v>
      </c>
      <c r="B86" s="10"/>
      <c r="C86" s="10"/>
      <c r="D86" s="10"/>
      <c r="E86" s="10"/>
      <c r="F86" s="12">
        <v>31073.78</v>
      </c>
      <c r="G86" s="12">
        <v>36088.1</v>
      </c>
      <c r="H86" s="12">
        <v>36300.43</v>
      </c>
      <c r="I86" s="12">
        <v>39237.25</v>
      </c>
      <c r="J86" s="12">
        <f t="shared" si="8"/>
        <v>142699.56</v>
      </c>
    </row>
    <row r="87" spans="1:10" hidden="1" outlineLevel="2" x14ac:dyDescent="0.35">
      <c r="A87" s="5" t="s">
        <v>84</v>
      </c>
      <c r="B87" s="10"/>
      <c r="C87" s="12">
        <v>185.55</v>
      </c>
      <c r="D87" s="12">
        <v>360.42</v>
      </c>
      <c r="E87" s="12">
        <v>1065.44</v>
      </c>
      <c r="F87" s="12">
        <v>14980.51</v>
      </c>
      <c r="G87" s="12">
        <v>-235.83</v>
      </c>
      <c r="H87" s="12">
        <v>2504.34</v>
      </c>
      <c r="I87" s="12">
        <v>0.55000000000000004</v>
      </c>
      <c r="J87" s="12">
        <f t="shared" si="8"/>
        <v>18860.98</v>
      </c>
    </row>
    <row r="88" spans="1:10" hidden="1" outlineLevel="2" x14ac:dyDescent="0.35">
      <c r="A88" s="5" t="s">
        <v>85</v>
      </c>
      <c r="B88" s="10"/>
      <c r="C88" s="10"/>
      <c r="D88" s="12">
        <v>1099.99</v>
      </c>
      <c r="E88" s="12">
        <v>14340.63</v>
      </c>
      <c r="F88" s="12">
        <v>-10034.01</v>
      </c>
      <c r="G88" s="12">
        <v>2113.1999999999998</v>
      </c>
      <c r="H88" s="12">
        <v>2322.84</v>
      </c>
      <c r="I88" s="12">
        <v>1066.19</v>
      </c>
      <c r="J88" s="12">
        <f t="shared" si="8"/>
        <v>10908.839999999998</v>
      </c>
    </row>
    <row r="89" spans="1:10" hidden="1" outlineLevel="2" x14ac:dyDescent="0.35">
      <c r="A89" s="5" t="s">
        <v>86</v>
      </c>
      <c r="B89" s="10"/>
      <c r="C89" s="12">
        <v>275</v>
      </c>
      <c r="D89" s="12">
        <v>2220</v>
      </c>
      <c r="E89" s="12">
        <v>1596.36</v>
      </c>
      <c r="F89" s="12">
        <v>97968.51</v>
      </c>
      <c r="G89" s="12">
        <v>14367.06</v>
      </c>
      <c r="H89" s="12">
        <v>15819.72</v>
      </c>
      <c r="I89" s="12">
        <v>32101.54</v>
      </c>
      <c r="J89" s="12">
        <f t="shared" si="8"/>
        <v>164348.19</v>
      </c>
    </row>
    <row r="90" spans="1:10" hidden="1" outlineLevel="2" x14ac:dyDescent="0.35">
      <c r="A90" s="5" t="s">
        <v>87</v>
      </c>
      <c r="B90" s="10"/>
      <c r="C90" s="12">
        <v>64.400000000000006</v>
      </c>
      <c r="D90" s="12">
        <v>54.42</v>
      </c>
      <c r="E90" s="12">
        <v>746.25</v>
      </c>
      <c r="F90" s="12">
        <v>3386.35</v>
      </c>
      <c r="G90" s="12">
        <v>7295.87</v>
      </c>
      <c r="H90" s="12">
        <v>4287.67</v>
      </c>
      <c r="I90" s="12">
        <v>3381.89</v>
      </c>
      <c r="J90" s="12">
        <f t="shared" si="8"/>
        <v>19216.850000000002</v>
      </c>
    </row>
    <row r="91" spans="1:10" hidden="1" outlineLevel="2" x14ac:dyDescent="0.35">
      <c r="A91" s="5" t="s">
        <v>88</v>
      </c>
      <c r="B91" s="10"/>
      <c r="C91" s="12">
        <v>239.84</v>
      </c>
      <c r="D91" s="12">
        <v>330.49</v>
      </c>
      <c r="E91" s="12">
        <v>-1791.01</v>
      </c>
      <c r="F91" s="12">
        <v>11038.79</v>
      </c>
      <c r="G91" s="12">
        <v>13117.21</v>
      </c>
      <c r="H91" s="12">
        <v>20204.09</v>
      </c>
      <c r="I91" s="12">
        <v>24930.12</v>
      </c>
      <c r="J91" s="12">
        <f t="shared" si="8"/>
        <v>68069.53</v>
      </c>
    </row>
    <row r="92" spans="1:10" hidden="1" outlineLevel="2" x14ac:dyDescent="0.35">
      <c r="A92" s="5" t="s">
        <v>89</v>
      </c>
      <c r="B92" s="10"/>
      <c r="C92" s="10"/>
      <c r="D92" s="12">
        <v>0.85</v>
      </c>
      <c r="E92" s="12">
        <v>517.41</v>
      </c>
      <c r="F92" s="10"/>
      <c r="G92" s="10"/>
      <c r="H92" s="12">
        <v>1560.76</v>
      </c>
      <c r="I92" s="10"/>
      <c r="J92" s="12">
        <f t="shared" si="8"/>
        <v>2079.02</v>
      </c>
    </row>
    <row r="93" spans="1:10" hidden="1" outlineLevel="2" x14ac:dyDescent="0.35">
      <c r="A93" s="5" t="s">
        <v>90</v>
      </c>
      <c r="B93" s="10"/>
      <c r="C93" s="10"/>
      <c r="D93" s="10"/>
      <c r="E93" s="10"/>
      <c r="F93" s="10"/>
      <c r="G93" s="12">
        <v>5514.35</v>
      </c>
      <c r="H93" s="10"/>
      <c r="I93" s="12">
        <v>76224.25</v>
      </c>
      <c r="J93" s="12">
        <f t="shared" si="8"/>
        <v>81738.600000000006</v>
      </c>
    </row>
    <row r="94" spans="1:10" hidden="1" outlineLevel="2" x14ac:dyDescent="0.35">
      <c r="A94" s="5" t="s">
        <v>91</v>
      </c>
      <c r="B94" s="10"/>
      <c r="C94" s="10"/>
      <c r="D94" s="12">
        <v>2484.36</v>
      </c>
      <c r="E94" s="12">
        <v>4012.2</v>
      </c>
      <c r="F94" s="12">
        <v>86394.39</v>
      </c>
      <c r="G94" s="12">
        <v>76975.28</v>
      </c>
      <c r="H94" s="12">
        <v>35912.9</v>
      </c>
      <c r="I94" s="12">
        <v>14909.52</v>
      </c>
      <c r="J94" s="12">
        <f t="shared" si="8"/>
        <v>220688.64999999997</v>
      </c>
    </row>
    <row r="95" spans="1:10" hidden="1" outlineLevel="2" x14ac:dyDescent="0.35">
      <c r="A95" s="5" t="s">
        <v>92</v>
      </c>
      <c r="B95" s="10"/>
      <c r="C95" s="10"/>
      <c r="D95" s="10"/>
      <c r="E95" s="12">
        <v>22259</v>
      </c>
      <c r="F95" s="12">
        <v>28645</v>
      </c>
      <c r="G95" s="12">
        <v>16015.44</v>
      </c>
      <c r="H95" s="12">
        <v>148351.93</v>
      </c>
      <c r="I95" s="10"/>
      <c r="J95" s="12">
        <f t="shared" si="8"/>
        <v>215271.37</v>
      </c>
    </row>
    <row r="96" spans="1:10" hidden="1" outlineLevel="2" x14ac:dyDescent="0.35">
      <c r="A96" s="5" t="s">
        <v>93</v>
      </c>
      <c r="B96" s="10"/>
      <c r="C96" s="12">
        <v>8254.2000000000007</v>
      </c>
      <c r="D96" s="12">
        <v>3396.81</v>
      </c>
      <c r="E96" s="12">
        <v>5353.95</v>
      </c>
      <c r="F96" s="12">
        <v>3220.17</v>
      </c>
      <c r="G96" s="12">
        <v>20755.2</v>
      </c>
      <c r="H96" s="12">
        <v>55137.75</v>
      </c>
      <c r="I96" s="12">
        <v>48863.69</v>
      </c>
      <c r="J96" s="12">
        <f t="shared" si="8"/>
        <v>144981.77000000002</v>
      </c>
    </row>
    <row r="97" spans="1:10" hidden="1" outlineLevel="2" x14ac:dyDescent="0.35">
      <c r="A97" s="5" t="s">
        <v>94</v>
      </c>
      <c r="B97" s="10"/>
      <c r="C97" s="12">
        <v>58.43</v>
      </c>
      <c r="D97" s="10"/>
      <c r="E97" s="10"/>
      <c r="F97" s="12">
        <v>50.38</v>
      </c>
      <c r="G97" s="12">
        <v>113.89</v>
      </c>
      <c r="H97" s="10"/>
      <c r="I97" s="10"/>
      <c r="J97" s="12">
        <f t="shared" si="8"/>
        <v>222.7</v>
      </c>
    </row>
    <row r="98" spans="1:10" hidden="1" outlineLevel="2" x14ac:dyDescent="0.35">
      <c r="A98" s="5" t="s">
        <v>95</v>
      </c>
      <c r="B98" s="10"/>
      <c r="C98" s="10"/>
      <c r="D98" s="10"/>
      <c r="E98" s="12">
        <v>85.5</v>
      </c>
      <c r="F98" s="10"/>
      <c r="G98" s="12">
        <v>1798.57</v>
      </c>
      <c r="H98" s="12">
        <v>1789.06</v>
      </c>
      <c r="I98" s="12">
        <v>1680.89</v>
      </c>
      <c r="J98" s="12">
        <f t="shared" si="8"/>
        <v>5354.02</v>
      </c>
    </row>
    <row r="99" spans="1:10" hidden="1" outlineLevel="2" x14ac:dyDescent="0.35">
      <c r="A99" s="5" t="s">
        <v>96</v>
      </c>
      <c r="B99" s="10"/>
      <c r="C99" s="10"/>
      <c r="D99" s="10"/>
      <c r="E99" s="10"/>
      <c r="F99" s="10"/>
      <c r="G99" s="12">
        <v>2531.42</v>
      </c>
      <c r="H99" s="12">
        <v>12819.96</v>
      </c>
      <c r="I99" s="12">
        <v>12127.57</v>
      </c>
      <c r="J99" s="12">
        <f t="shared" si="8"/>
        <v>27478.949999999997</v>
      </c>
    </row>
    <row r="100" spans="1:10" hidden="1" outlineLevel="2" x14ac:dyDescent="0.35">
      <c r="A100" s="5" t="s">
        <v>97</v>
      </c>
      <c r="B100" s="10"/>
      <c r="C100" s="12">
        <v>93.31</v>
      </c>
      <c r="D100" s="12">
        <v>48.27</v>
      </c>
      <c r="E100" s="10"/>
      <c r="F100" s="10"/>
      <c r="G100" s="12">
        <v>254.13</v>
      </c>
      <c r="H100" s="10"/>
      <c r="I100" s="10"/>
      <c r="J100" s="12">
        <f t="shared" si="8"/>
        <v>395.71000000000004</v>
      </c>
    </row>
    <row r="101" spans="1:10" hidden="1" outlineLevel="2" x14ac:dyDescent="0.35">
      <c r="A101" s="5" t="s">
        <v>98</v>
      </c>
      <c r="B101" s="10"/>
      <c r="C101" s="12">
        <v>1244.5</v>
      </c>
      <c r="D101" s="12">
        <v>3244</v>
      </c>
      <c r="E101" s="12">
        <v>91647.94</v>
      </c>
      <c r="F101" s="12">
        <v>351579.39</v>
      </c>
      <c r="G101" s="12">
        <v>157265.37</v>
      </c>
      <c r="H101" s="10"/>
      <c r="I101" s="12">
        <v>41184.32</v>
      </c>
      <c r="J101" s="12">
        <f t="shared" si="8"/>
        <v>646165.5199999999</v>
      </c>
    </row>
    <row r="102" spans="1:10" hidden="1" outlineLevel="2" x14ac:dyDescent="0.35">
      <c r="A102" s="5" t="s">
        <v>99</v>
      </c>
      <c r="B102" s="10"/>
      <c r="C102" s="10"/>
      <c r="D102" s="10"/>
      <c r="E102" s="10"/>
      <c r="F102" s="12">
        <v>2605.37</v>
      </c>
      <c r="G102" s="12">
        <v>3097.99</v>
      </c>
      <c r="H102" s="12">
        <v>3798.5</v>
      </c>
      <c r="I102" s="12">
        <v>3349.09</v>
      </c>
      <c r="J102" s="12">
        <f t="shared" si="8"/>
        <v>12850.95</v>
      </c>
    </row>
    <row r="103" spans="1:10" hidden="1" outlineLevel="2" x14ac:dyDescent="0.35">
      <c r="A103" s="5" t="s">
        <v>100</v>
      </c>
      <c r="B103" s="10"/>
      <c r="C103" s="12">
        <v>65.400000000000006</v>
      </c>
      <c r="D103" s="10"/>
      <c r="E103" s="12">
        <v>0</v>
      </c>
      <c r="F103" s="10"/>
      <c r="G103" s="10"/>
      <c r="H103" s="12">
        <v>70.5</v>
      </c>
      <c r="I103" s="12">
        <v>235.35</v>
      </c>
      <c r="J103" s="12">
        <f t="shared" si="8"/>
        <v>371.25</v>
      </c>
    </row>
    <row r="104" spans="1:10" hidden="1" outlineLevel="2" x14ac:dyDescent="0.35">
      <c r="A104" s="5" t="s">
        <v>101</v>
      </c>
      <c r="B104" s="10"/>
      <c r="C104" s="10"/>
      <c r="D104" s="10"/>
      <c r="E104" s="12">
        <v>910.29</v>
      </c>
      <c r="F104" s="12">
        <v>1272.43</v>
      </c>
      <c r="G104" s="12">
        <v>170.38</v>
      </c>
      <c r="H104" s="10"/>
      <c r="I104" s="10"/>
      <c r="J104" s="12">
        <f t="shared" si="8"/>
        <v>2353.1000000000004</v>
      </c>
    </row>
    <row r="105" spans="1:10" hidden="1" outlineLevel="2" x14ac:dyDescent="0.35">
      <c r="A105" s="5" t="s">
        <v>102</v>
      </c>
      <c r="B105" s="10"/>
      <c r="C105" s="10"/>
      <c r="D105" s="12">
        <v>16.510000000000002</v>
      </c>
      <c r="E105" s="10"/>
      <c r="F105" s="10"/>
      <c r="G105" s="10"/>
      <c r="H105" s="10"/>
      <c r="I105" s="12">
        <v>25.78</v>
      </c>
      <c r="J105" s="12">
        <f t="shared" si="8"/>
        <v>42.290000000000006</v>
      </c>
    </row>
    <row r="106" spans="1:10" hidden="1" outlineLevel="2" x14ac:dyDescent="0.35">
      <c r="A106" s="5" t="s">
        <v>103</v>
      </c>
      <c r="B106" s="10"/>
      <c r="C106" s="10"/>
      <c r="D106" s="10"/>
      <c r="E106" s="10"/>
      <c r="F106" s="10"/>
      <c r="G106" s="12">
        <v>30196.25</v>
      </c>
      <c r="H106" s="10"/>
      <c r="I106" s="10"/>
      <c r="J106" s="12">
        <f t="shared" si="8"/>
        <v>30196.25</v>
      </c>
    </row>
    <row r="107" spans="1:10" hidden="1" outlineLevel="2" x14ac:dyDescent="0.35">
      <c r="A107" s="5" t="s">
        <v>104</v>
      </c>
      <c r="B107" s="10"/>
      <c r="C107" s="12">
        <v>971.16</v>
      </c>
      <c r="D107" s="12">
        <v>1500.96</v>
      </c>
      <c r="E107" s="12">
        <v>6043.11</v>
      </c>
      <c r="F107" s="12">
        <v>63029</v>
      </c>
      <c r="G107" s="12">
        <v>52037.37</v>
      </c>
      <c r="H107" s="12">
        <v>48763.71</v>
      </c>
      <c r="I107" s="12">
        <v>46956.92</v>
      </c>
      <c r="J107" s="12">
        <f t="shared" si="8"/>
        <v>219302.22999999998</v>
      </c>
    </row>
    <row r="108" spans="1:10" hidden="1" outlineLevel="2" x14ac:dyDescent="0.35">
      <c r="A108" s="5" t="s">
        <v>105</v>
      </c>
      <c r="B108" s="10"/>
      <c r="C108" s="10"/>
      <c r="D108" s="10"/>
      <c r="E108" s="10"/>
      <c r="F108" s="12">
        <v>2543.71</v>
      </c>
      <c r="G108" s="12">
        <v>2500.2399999999998</v>
      </c>
      <c r="H108" s="12">
        <v>1267.71</v>
      </c>
      <c r="I108" s="12">
        <v>1808.58</v>
      </c>
      <c r="J108" s="12">
        <f t="shared" si="8"/>
        <v>8120.24</v>
      </c>
    </row>
    <row r="109" spans="1:10" hidden="1" outlineLevel="2" x14ac:dyDescent="0.35">
      <c r="A109" s="5" t="s">
        <v>106</v>
      </c>
      <c r="B109" s="10"/>
      <c r="C109" s="10"/>
      <c r="D109" s="10"/>
      <c r="E109" s="12">
        <v>312.42</v>
      </c>
      <c r="F109" s="12">
        <v>232.62</v>
      </c>
      <c r="G109" s="10"/>
      <c r="H109" s="12">
        <v>2146.4</v>
      </c>
      <c r="I109" s="12">
        <v>1559.47</v>
      </c>
      <c r="J109" s="12">
        <f t="shared" si="8"/>
        <v>4250.91</v>
      </c>
    </row>
    <row r="110" spans="1:10" hidden="1" outlineLevel="2" x14ac:dyDescent="0.35">
      <c r="A110" s="5" t="s">
        <v>107</v>
      </c>
      <c r="B110" s="10"/>
      <c r="C110" s="10"/>
      <c r="D110" s="12">
        <v>0.25</v>
      </c>
      <c r="E110" s="10"/>
      <c r="F110" s="10"/>
      <c r="G110" s="12">
        <v>0</v>
      </c>
      <c r="H110" s="10"/>
      <c r="I110" s="12">
        <v>-4497.25</v>
      </c>
      <c r="J110" s="12">
        <f t="shared" si="8"/>
        <v>-4497</v>
      </c>
    </row>
    <row r="111" spans="1:10" hidden="1" outlineLevel="2" x14ac:dyDescent="0.35">
      <c r="A111" s="5" t="s">
        <v>108</v>
      </c>
      <c r="B111" s="10"/>
      <c r="C111" s="10"/>
      <c r="D111" s="10"/>
      <c r="E111" s="12">
        <v>4112.34</v>
      </c>
      <c r="F111" s="12">
        <v>-2662.27</v>
      </c>
      <c r="G111" s="10"/>
      <c r="H111" s="10"/>
      <c r="I111" s="10"/>
      <c r="J111" s="12">
        <f t="shared" si="8"/>
        <v>1450.0700000000002</v>
      </c>
    </row>
    <row r="112" spans="1:10" hidden="1" outlineLevel="1" x14ac:dyDescent="0.35">
      <c r="A112" s="6" t="s">
        <v>109</v>
      </c>
      <c r="B112" s="11"/>
      <c r="C112" s="13">
        <f t="shared" ref="C112:I112" si="10">C66+C78+C79+C80+C81+C82+C83+C84+C85+C86+C87+C88+C89+C90+C91+C92+C93+C94+C95+C96+C97+C98+C99+C100+C101+C102+C103+C104+C105+C106+C107+C108+C109+C110+C111</f>
        <v>37102.78</v>
      </c>
      <c r="D112" s="13">
        <f t="shared" si="10"/>
        <v>128181.04000000001</v>
      </c>
      <c r="E112" s="13">
        <f t="shared" si="10"/>
        <v>378104.75999999995</v>
      </c>
      <c r="F112" s="13">
        <f t="shared" si="10"/>
        <v>921242.48</v>
      </c>
      <c r="G112" s="13">
        <f t="shared" si="10"/>
        <v>1489183.7799999998</v>
      </c>
      <c r="H112" s="13">
        <f t="shared" si="10"/>
        <v>906717.47999999986</v>
      </c>
      <c r="I112" s="13">
        <f t="shared" si="10"/>
        <v>716737.68999999983</v>
      </c>
      <c r="J112" s="13">
        <f t="shared" si="8"/>
        <v>4577270.01</v>
      </c>
    </row>
    <row r="113" spans="1:10" hidden="1" outlineLevel="1" x14ac:dyDescent="0.35">
      <c r="A113" s="3" t="s">
        <v>110</v>
      </c>
      <c r="B113" s="10"/>
      <c r="C113" s="10"/>
      <c r="D113" s="10"/>
      <c r="E113" s="10"/>
      <c r="F113" s="12">
        <v>8336.81</v>
      </c>
      <c r="G113" s="10"/>
      <c r="H113" s="10"/>
      <c r="I113" s="10"/>
      <c r="J113" s="12">
        <f t="shared" si="8"/>
        <v>8336.81</v>
      </c>
    </row>
    <row r="114" spans="1:10" collapsed="1" x14ac:dyDescent="0.35">
      <c r="A114" s="4" t="s">
        <v>111</v>
      </c>
      <c r="B114" s="14"/>
      <c r="C114" s="15">
        <f t="shared" ref="C114:I114" si="11">C24+C36+C46+C56+C65+C112+C113</f>
        <v>46821.39</v>
      </c>
      <c r="D114" s="15">
        <f t="shared" si="11"/>
        <v>129481.69</v>
      </c>
      <c r="E114" s="15">
        <f t="shared" si="11"/>
        <v>485309.31999999995</v>
      </c>
      <c r="F114" s="15">
        <f t="shared" si="11"/>
        <v>1499090.25</v>
      </c>
      <c r="G114" s="15">
        <f t="shared" si="11"/>
        <v>3013241.92</v>
      </c>
      <c r="H114" s="15">
        <f t="shared" si="11"/>
        <v>3517880.06</v>
      </c>
      <c r="I114" s="15">
        <f t="shared" si="11"/>
        <v>2447275.3699999996</v>
      </c>
      <c r="J114" s="15">
        <f t="shared" si="8"/>
        <v>11139100</v>
      </c>
    </row>
    <row r="115" spans="1:10" x14ac:dyDescent="0.35">
      <c r="A115" s="2" t="s">
        <v>112</v>
      </c>
      <c r="B115" s="10"/>
      <c r="C115" s="10"/>
      <c r="D115" s="10"/>
      <c r="E115" s="10"/>
      <c r="F115" s="10"/>
      <c r="G115" s="10"/>
      <c r="H115" s="10"/>
      <c r="I115" s="10"/>
    </row>
    <row r="116" spans="1:10" hidden="1" outlineLevel="1" x14ac:dyDescent="0.35">
      <c r="A116" s="3" t="s">
        <v>113</v>
      </c>
      <c r="B116" s="10"/>
      <c r="C116" s="10"/>
      <c r="D116" s="12">
        <v>95005</v>
      </c>
      <c r="E116" s="12">
        <v>145402.48000000001</v>
      </c>
      <c r="F116" s="12">
        <v>9936.93</v>
      </c>
      <c r="G116" s="12">
        <v>12545</v>
      </c>
      <c r="H116" s="10"/>
      <c r="I116" s="10"/>
      <c r="J116" s="12">
        <f t="shared" ref="J116:J123" si="12">B116+C116+D116+E116+F116+G116+H116+I116</f>
        <v>262889.41000000003</v>
      </c>
    </row>
    <row r="117" spans="1:10" hidden="1" outlineLevel="1" x14ac:dyDescent="0.35">
      <c r="A117" s="3" t="s">
        <v>114</v>
      </c>
      <c r="B117" s="10"/>
      <c r="C117" s="10"/>
      <c r="D117" s="10"/>
      <c r="E117" s="12">
        <v>10000</v>
      </c>
      <c r="F117" s="10"/>
      <c r="G117" s="10"/>
      <c r="H117" s="10"/>
      <c r="I117" s="10"/>
      <c r="J117" s="12">
        <f t="shared" si="12"/>
        <v>10000</v>
      </c>
    </row>
    <row r="118" spans="1:10" hidden="1" outlineLevel="1" x14ac:dyDescent="0.35">
      <c r="A118" s="3" t="s">
        <v>115</v>
      </c>
      <c r="B118" s="10"/>
      <c r="C118" s="10"/>
      <c r="D118" s="12">
        <v>5413</v>
      </c>
      <c r="E118" s="12">
        <v>83774.59</v>
      </c>
      <c r="F118" s="12">
        <v>189595</v>
      </c>
      <c r="G118" s="12">
        <v>908958.63</v>
      </c>
      <c r="H118" s="12">
        <v>1097097.55</v>
      </c>
      <c r="I118" s="12">
        <v>890336.49</v>
      </c>
      <c r="J118" s="12">
        <f t="shared" si="12"/>
        <v>3175175.26</v>
      </c>
    </row>
    <row r="119" spans="1:10" hidden="1" outlineLevel="2" x14ac:dyDescent="0.35">
      <c r="A119" s="5" t="s">
        <v>116</v>
      </c>
      <c r="B119" s="10"/>
      <c r="C119" s="10"/>
      <c r="D119" s="12">
        <v>18113.41</v>
      </c>
      <c r="E119" s="12">
        <v>107537.64</v>
      </c>
      <c r="F119" s="12">
        <v>4874.5</v>
      </c>
      <c r="G119" s="10"/>
      <c r="H119" s="10"/>
      <c r="I119" s="10"/>
      <c r="J119" s="12">
        <f t="shared" si="12"/>
        <v>130525.55</v>
      </c>
    </row>
    <row r="120" spans="1:10" hidden="1" outlineLevel="1" x14ac:dyDescent="0.35">
      <c r="A120" s="6" t="s">
        <v>117</v>
      </c>
      <c r="B120" s="11"/>
      <c r="C120" s="11"/>
      <c r="D120" s="13">
        <f t="shared" ref="D120:I120" si="13">D118+D119</f>
        <v>23526.41</v>
      </c>
      <c r="E120" s="13">
        <f t="shared" si="13"/>
        <v>191312.22999999998</v>
      </c>
      <c r="F120" s="13">
        <f t="shared" si="13"/>
        <v>194469.5</v>
      </c>
      <c r="G120" s="13">
        <f t="shared" si="13"/>
        <v>908958.63</v>
      </c>
      <c r="H120" s="13">
        <f t="shared" si="13"/>
        <v>1097097.55</v>
      </c>
      <c r="I120" s="13">
        <f t="shared" si="13"/>
        <v>890336.49</v>
      </c>
      <c r="J120" s="13">
        <f t="shared" si="12"/>
        <v>3305700.8100000005</v>
      </c>
    </row>
    <row r="121" spans="1:10" hidden="1" outlineLevel="1" x14ac:dyDescent="0.35">
      <c r="A121" s="3" t="s">
        <v>118</v>
      </c>
      <c r="B121" s="10"/>
      <c r="C121" s="10"/>
      <c r="D121" s="10"/>
      <c r="E121" s="10"/>
      <c r="F121" s="12">
        <v>12373.31</v>
      </c>
      <c r="G121" s="12">
        <v>147183.38</v>
      </c>
      <c r="H121" s="12">
        <v>72914.47</v>
      </c>
      <c r="I121" s="12">
        <v>13882.91</v>
      </c>
      <c r="J121" s="12">
        <f t="shared" si="12"/>
        <v>246354.07</v>
      </c>
    </row>
    <row r="122" spans="1:10" hidden="1" outlineLevel="1" x14ac:dyDescent="0.35">
      <c r="A122" s="3" t="s">
        <v>119</v>
      </c>
      <c r="B122" s="10"/>
      <c r="C122" s="10"/>
      <c r="D122" s="10"/>
      <c r="E122" s="10"/>
      <c r="F122" s="10"/>
      <c r="G122" s="12">
        <v>0</v>
      </c>
      <c r="H122" s="12">
        <v>0</v>
      </c>
      <c r="I122" s="10"/>
      <c r="J122" s="12">
        <f t="shared" si="12"/>
        <v>0</v>
      </c>
    </row>
    <row r="123" spans="1:10" collapsed="1" x14ac:dyDescent="0.35">
      <c r="A123" s="4" t="s">
        <v>120</v>
      </c>
      <c r="B123" s="11"/>
      <c r="C123" s="11"/>
      <c r="D123" s="13">
        <f t="shared" ref="D123:I123" si="14">D116+D117+D120+D121+D122</f>
        <v>118531.41</v>
      </c>
      <c r="E123" s="13">
        <f t="shared" si="14"/>
        <v>346714.70999999996</v>
      </c>
      <c r="F123" s="13">
        <f t="shared" si="14"/>
        <v>216779.74</v>
      </c>
      <c r="G123" s="13">
        <f t="shared" si="14"/>
        <v>1068687.01</v>
      </c>
      <c r="H123" s="13">
        <f t="shared" si="14"/>
        <v>1170012.02</v>
      </c>
      <c r="I123" s="13">
        <f t="shared" si="14"/>
        <v>904219.4</v>
      </c>
      <c r="J123" s="13">
        <f t="shared" si="12"/>
        <v>3824944.29</v>
      </c>
    </row>
    <row r="124" spans="1:10" x14ac:dyDescent="0.35">
      <c r="A124" s="2" t="s">
        <v>121</v>
      </c>
      <c r="B124" s="10"/>
      <c r="C124" s="10"/>
      <c r="D124" s="10"/>
      <c r="E124" s="10"/>
      <c r="F124" s="10"/>
      <c r="G124" s="10"/>
      <c r="H124" s="10"/>
      <c r="I124" s="10"/>
    </row>
    <row r="125" spans="1:10" hidden="1" outlineLevel="1" x14ac:dyDescent="0.35">
      <c r="A125" s="3" t="s">
        <v>122</v>
      </c>
      <c r="B125" s="10"/>
      <c r="C125" s="10"/>
      <c r="D125" s="10"/>
      <c r="E125" s="10"/>
      <c r="F125" s="12">
        <v>-2.8900000000000002E-3</v>
      </c>
      <c r="G125" s="12">
        <v>0</v>
      </c>
      <c r="H125" s="12">
        <v>0</v>
      </c>
      <c r="I125" s="12">
        <v>0</v>
      </c>
      <c r="J125" s="12">
        <f t="shared" ref="J125:J133" si="15">B125+C125+D125+E125+F125+G125+H125+I125</f>
        <v>-2.8900000000000002E-3</v>
      </c>
    </row>
    <row r="126" spans="1:10" hidden="1" outlineLevel="1" x14ac:dyDescent="0.35">
      <c r="A126" s="3" t="s">
        <v>123</v>
      </c>
      <c r="B126" s="10"/>
      <c r="C126" s="10"/>
      <c r="D126" s="10"/>
      <c r="E126" s="10"/>
      <c r="F126" s="12">
        <v>2682.56</v>
      </c>
      <c r="G126" s="12">
        <v>26902.05</v>
      </c>
      <c r="H126" s="12">
        <v>34436.550000000003</v>
      </c>
      <c r="I126" s="12">
        <v>31453.1</v>
      </c>
      <c r="J126" s="12">
        <f t="shared" si="15"/>
        <v>95474.260000000009</v>
      </c>
    </row>
    <row r="127" spans="1:10" hidden="1" outlineLevel="1" x14ac:dyDescent="0.35">
      <c r="A127" s="3" t="s">
        <v>124</v>
      </c>
      <c r="B127" s="10"/>
      <c r="C127" s="10"/>
      <c r="D127" s="10"/>
      <c r="E127" s="12">
        <v>-0.01</v>
      </c>
      <c r="F127" s="12">
        <v>65672.259999999995</v>
      </c>
      <c r="G127" s="12">
        <v>41114.51</v>
      </c>
      <c r="H127" s="12">
        <v>-48074.49</v>
      </c>
      <c r="I127" s="12">
        <v>551.65</v>
      </c>
      <c r="J127" s="12">
        <f t="shared" si="15"/>
        <v>59263.920000000013</v>
      </c>
    </row>
    <row r="128" spans="1:10" hidden="1" outlineLevel="1" x14ac:dyDescent="0.35">
      <c r="A128" s="3" t="s">
        <v>125</v>
      </c>
      <c r="B128" s="10"/>
      <c r="C128" s="10"/>
      <c r="D128" s="12">
        <v>108.39</v>
      </c>
      <c r="E128" s="12">
        <v>1014.45</v>
      </c>
      <c r="F128" s="10"/>
      <c r="G128" s="10"/>
      <c r="H128" s="10"/>
      <c r="I128" s="10"/>
      <c r="J128" s="12">
        <f t="shared" si="15"/>
        <v>1122.8400000000001</v>
      </c>
    </row>
    <row r="129" spans="1:13" hidden="1" outlineLevel="1" x14ac:dyDescent="0.35">
      <c r="A129" s="3" t="s">
        <v>126</v>
      </c>
      <c r="B129" s="10"/>
      <c r="C129" s="10"/>
      <c r="D129" s="10"/>
      <c r="E129" s="10"/>
      <c r="F129" s="10"/>
      <c r="G129" s="10"/>
      <c r="H129" s="10"/>
      <c r="I129" s="12">
        <v>38853.42</v>
      </c>
      <c r="J129" s="12">
        <f t="shared" si="15"/>
        <v>38853.42</v>
      </c>
    </row>
    <row r="130" spans="1:13" hidden="1" outlineLevel="1" x14ac:dyDescent="0.35">
      <c r="A130" s="3" t="s">
        <v>127</v>
      </c>
      <c r="B130" s="10"/>
      <c r="C130" s="10"/>
      <c r="D130" s="12">
        <v>259.64999999999998</v>
      </c>
      <c r="E130" s="12">
        <v>229.72</v>
      </c>
      <c r="F130" s="12">
        <v>127507.39</v>
      </c>
      <c r="G130" s="12">
        <v>-7.07</v>
      </c>
      <c r="H130" s="12">
        <v>4334.58</v>
      </c>
      <c r="I130" s="12">
        <v>10402.219999999999</v>
      </c>
      <c r="J130" s="12">
        <f t="shared" si="15"/>
        <v>142726.49</v>
      </c>
    </row>
    <row r="131" spans="1:13" hidden="1" outlineLevel="1" x14ac:dyDescent="0.35">
      <c r="A131" s="3" t="s">
        <v>128</v>
      </c>
      <c r="B131" s="10"/>
      <c r="C131" s="10"/>
      <c r="D131" s="10"/>
      <c r="E131" s="10"/>
      <c r="F131" s="12">
        <v>-0.01</v>
      </c>
      <c r="G131" s="10"/>
      <c r="H131" s="10"/>
      <c r="I131" s="10"/>
      <c r="J131" s="12">
        <f t="shared" si="15"/>
        <v>-0.01</v>
      </c>
    </row>
    <row r="132" spans="1:13" collapsed="1" x14ac:dyDescent="0.35">
      <c r="A132" s="4" t="s">
        <v>129</v>
      </c>
      <c r="B132" s="11"/>
      <c r="C132" s="11"/>
      <c r="D132" s="13">
        <f t="shared" ref="D132:I132" si="16">D125+D126+D127+D128+D129+D130+D131</f>
        <v>368.03999999999996</v>
      </c>
      <c r="E132" s="13">
        <f t="shared" si="16"/>
        <v>1244.1600000000001</v>
      </c>
      <c r="F132" s="13">
        <f t="shared" si="16"/>
        <v>195862.19710999998</v>
      </c>
      <c r="G132" s="13">
        <f t="shared" si="16"/>
        <v>68009.489999999991</v>
      </c>
      <c r="H132" s="13">
        <f t="shared" si="16"/>
        <v>-9303.3599999999951</v>
      </c>
      <c r="I132" s="13">
        <f t="shared" si="16"/>
        <v>81260.39</v>
      </c>
      <c r="J132" s="13">
        <f t="shared" si="15"/>
        <v>337440.91711000004</v>
      </c>
    </row>
    <row r="133" spans="1:13" x14ac:dyDescent="0.35">
      <c r="A133" s="4" t="s">
        <v>130</v>
      </c>
      <c r="B133" s="11"/>
      <c r="C133" s="13">
        <f t="shared" ref="C133:I133" si="17">C22+C123-C114-C132</f>
        <v>-15755.39</v>
      </c>
      <c r="D133" s="13">
        <f t="shared" si="17"/>
        <v>9954.739999999998</v>
      </c>
      <c r="E133" s="13">
        <f t="shared" si="17"/>
        <v>32034.959999999995</v>
      </c>
      <c r="F133" s="13">
        <f t="shared" si="17"/>
        <v>-1121153.7371100001</v>
      </c>
      <c r="G133" s="13">
        <f t="shared" si="17"/>
        <v>-1247778.4999999998</v>
      </c>
      <c r="H133" s="13">
        <f t="shared" si="17"/>
        <v>-1560253.43</v>
      </c>
      <c r="I133" s="13">
        <f t="shared" si="17"/>
        <v>-1725182.0099999995</v>
      </c>
      <c r="J133" s="13">
        <f t="shared" si="15"/>
        <v>-5628133.3671099991</v>
      </c>
      <c r="M133" s="17"/>
    </row>
    <row r="134" spans="1:13" ht="16" thickBot="1" x14ac:dyDescent="0.4"/>
    <row r="135" spans="1:13" ht="16" thickBot="1" x14ac:dyDescent="0.4">
      <c r="B135" s="14">
        <f>B21+B114</f>
        <v>0</v>
      </c>
      <c r="C135" s="14">
        <f t="shared" ref="C135:J135" si="18">C21+C114</f>
        <v>46961.39</v>
      </c>
      <c r="D135" s="14">
        <f t="shared" si="18"/>
        <v>130740.06</v>
      </c>
      <c r="E135" s="14">
        <f t="shared" si="18"/>
        <v>486327.72999999992</v>
      </c>
      <c r="F135" s="14">
        <f t="shared" si="18"/>
        <v>1524921.29</v>
      </c>
      <c r="G135" s="14">
        <f t="shared" si="18"/>
        <v>3016456.02</v>
      </c>
      <c r="H135" s="14">
        <f t="shared" si="18"/>
        <v>3564059.38</v>
      </c>
      <c r="I135" s="14">
        <f t="shared" si="18"/>
        <v>2548141.0199999996</v>
      </c>
      <c r="J135" s="16">
        <f t="shared" si="18"/>
        <v>11317606.890000001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jorourke163 jorourke163</cp:lastModifiedBy>
  <dcterms:created xsi:type="dcterms:W3CDTF">2022-03-24T08:55:57Z</dcterms:created>
  <dcterms:modified xsi:type="dcterms:W3CDTF">2026-01-16T14:35:17Z</dcterms:modified>
  <cp:category/>
</cp:coreProperties>
</file>