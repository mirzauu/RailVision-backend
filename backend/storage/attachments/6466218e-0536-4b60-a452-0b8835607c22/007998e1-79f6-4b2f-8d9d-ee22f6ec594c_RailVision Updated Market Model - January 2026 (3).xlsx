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fb0a6c269ef6de/Desktop/RailVision December 3 2025/The Strategic Pitch/"/>
    </mc:Choice>
  </mc:AlternateContent>
  <xr:revisionPtr revIDLastSave="34" documentId="8_{1F38D8E3-0C4B-409D-9285-2A7E9DE15468}" xr6:coauthVersionLast="47" xr6:coauthVersionMax="47" xr10:uidLastSave="{1914D5F2-E7B0-48B5-8067-E217BAAC6950}"/>
  <bookViews>
    <workbookView xWindow="-110" yWindow="-110" windowWidth="19420" windowHeight="11500" xr2:uid="{64AB11D8-D281-4B28-9DDB-442498828768}"/>
  </bookViews>
  <sheets>
    <sheet name="Market Model" sheetId="1" r:id="rId1"/>
  </sheets>
  <externalReferences>
    <externalReference r:id="rId2"/>
  </externalReferences>
  <definedNames>
    <definedName name="_xlnm._FilterDatabase" localSheetId="0" hidden="1">'Market Model'!$A$1:$A$1027</definedName>
    <definedName name="ActualNumberOfPayments" localSheetId="0">IFERROR(IF(LoanIsGood,IF(PaymentsPerYear=1,1,MATCH(0.01,End_Bal,-1)+1)),"")</definedName>
    <definedName name="ActualNumberOfPayments">IFERROR(IF(LoanIsGood,IF(PaymentsPerYear=1,1,MATCH(0.01,End_Bal,-1)+1)),"")</definedName>
    <definedName name="afd" localSheetId="0">SUM(#REF!)</definedName>
    <definedName name="afd">SUM(#REF!)</definedName>
    <definedName name="armsLength">#REF!</definedName>
    <definedName name="baselineRevenue">#REF!</definedName>
    <definedName name="Benefits">#REF!</definedName>
    <definedName name="BILLTO">#REF!</definedName>
    <definedName name="BILLTO_NAME">#REF!</definedName>
    <definedName name="CIQWBGuid" hidden="1">"2cd8126d-26c3-430c-b7fa-a069e3a1fc62"</definedName>
    <definedName name="claimPeriodHiringRate">#REF!</definedName>
    <definedName name="claimPeriodNo">#REF!</definedName>
    <definedName name="claimPeriodPercent">#REF!</definedName>
    <definedName name="claimPeriods">#REF!</definedName>
    <definedName name="claimPeriodScale">#REF!</definedName>
    <definedName name="claimPeriodTopUpMax">#REF!</definedName>
    <definedName name="claimPeriodTopUpScale">#REF!</definedName>
    <definedName name="Class">#REF!</definedName>
    <definedName name="ClientName">#REF!</definedName>
    <definedName name="COGs_CD">#REF!</definedName>
    <definedName name="COGs_CS">#REF!</definedName>
    <definedName name="ColumnTitle1">#REF!</definedName>
    <definedName name="CRHPrate">#REF!</definedName>
    <definedName name="Currency">#REF!</definedName>
    <definedName name="dafad">SUM(#REF!)</definedName>
    <definedName name="Default_PRice">#REF!</definedName>
    <definedName name="Department">#REF!</definedName>
    <definedName name="dlkjsd">#REF!</definedName>
    <definedName name="EFX">#REF!</definedName>
    <definedName name="EFX_2019">#REF!</definedName>
    <definedName name="EFX_2020">#REF!</definedName>
    <definedName name="EFX_2021">#REF!</definedName>
    <definedName name="EFX_2022">#REF!</definedName>
    <definedName name="EligibilityThreshold">#REF!</definedName>
    <definedName name="End_Bal">#REF!</definedName>
    <definedName name="ExtraPayments">#REF!</definedName>
    <definedName name="f">#REF!</definedName>
    <definedName name="FX">#REF!</definedName>
    <definedName name="FX_2019">#REF!</definedName>
    <definedName name="FX_GAAP">#REF!</definedName>
    <definedName name="FX_NONGAAP">#REF!</definedName>
    <definedName name="Grid">#REF!</definedName>
    <definedName name="Grid1">#REF!</definedName>
    <definedName name="InterestRate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43412.7003240741</definedName>
    <definedName name="IQ_QTD" hidden="1">750000</definedName>
    <definedName name="IQ_TODAY" hidden="1">0</definedName>
    <definedName name="IQ_YTDMONTH" hidden="1">130000</definedName>
    <definedName name="LastCol">MATCH(REPT("z",255),#REF!)</definedName>
    <definedName name="LastRow">MATCH(9.99E+307,#REF!)</definedName>
    <definedName name="LenderName">#REF!</definedName>
    <definedName name="LoanAmount">#REF!</definedName>
    <definedName name="LoanIsGood">(#REF!*#REF!*#REF!*#REF!)&gt;0</definedName>
    <definedName name="LoanPeriod">#REF!</definedName>
    <definedName name="LoanStartDate">#REF!</definedName>
    <definedName name="LOC_NAME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2">#REF!</definedName>
    <definedName name="Months">#REF!</definedName>
    <definedName name="new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ew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otherEmployees">#REF!</definedName>
    <definedName name="overallRate">#REF!</definedName>
    <definedName name="PaymentsPerYear">#REF!</definedName>
    <definedName name="Payroll_Tax">#REF!</definedName>
    <definedName name="PeriodMonthName">#REF!</definedName>
    <definedName name="PeriodMonthNamePrev">#REF!</definedName>
    <definedName name="PrevMonthName">#REF!</definedName>
    <definedName name="PrevMonthNamePrev">#REF!</definedName>
    <definedName name="Price_Grid_Exs">#REF!</definedName>
    <definedName name="Pricing_Chart">#REF!</definedName>
    <definedName name="PrintArea_SET" localSheetId="0">OFFSET(#REF!,,,LastRow,LastCol)</definedName>
    <definedName name="PrintArea_SET">OFFSET(#REF!,,,LastRow,LastCol)</definedName>
    <definedName name="ReceiptIncluded">#REF!</definedName>
    <definedName name="revenueReduction">#REF!</definedName>
    <definedName name="RowTitleRegion1..E9">#REF!</definedName>
    <definedName name="RowTitleRegion2..I7">#REF!</definedName>
    <definedName name="RowTitleRegion3..E9">#REF!</definedName>
    <definedName name="RowTitleRegion4..H9">#REF!</definedName>
    <definedName name="RPpicker">#REF!</definedName>
    <definedName name="ScheduledNumberOfPayments">#REF!</definedName>
    <definedName name="ScheduledPayment">#REF!</definedName>
    <definedName name="sheet">#REF!</definedName>
    <definedName name="sheet1">#REF!</definedName>
    <definedName name="Std_Price">#REF!</definedName>
    <definedName name="Std_Price_Aur">#REF!</definedName>
    <definedName name="SUP">#REF!</definedName>
    <definedName name="TaxLocation">#REF!</definedName>
    <definedName name="Today">#REF!</definedName>
    <definedName name="TotalEarlyPayments" localSheetId="0">SUM(#REF!)</definedName>
    <definedName name="TotalEarlyPayments">SUM(#REF!)</definedName>
    <definedName name="TotalInterest">SUM(#REF!)</definedName>
    <definedName name="VENDOR">#REF!</definedName>
    <definedName name="VendorName">#REF!</definedName>
    <definedName name="Yes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9" i="1" l="1"/>
  <c r="C1019" i="1"/>
  <c r="I1017" i="1"/>
  <c r="I1016" i="1"/>
  <c r="Q1016" i="1" s="1"/>
  <c r="S1016" i="1" s="1"/>
  <c r="W1016" i="1" s="1"/>
  <c r="U1016" i="1" s="1"/>
  <c r="I1015" i="1"/>
  <c r="I1014" i="1"/>
  <c r="Q1014" i="1" s="1"/>
  <c r="S1014" i="1" s="1"/>
  <c r="W1014" i="1" s="1"/>
  <c r="U1014" i="1" s="1"/>
  <c r="I1013" i="1"/>
  <c r="I1012" i="1"/>
  <c r="Q1012" i="1" s="1"/>
  <c r="S1012" i="1" s="1"/>
  <c r="W1012" i="1" s="1"/>
  <c r="U1012" i="1" s="1"/>
  <c r="I1011" i="1"/>
  <c r="O1011" i="1" s="1"/>
  <c r="K459" i="1"/>
  <c r="K259" i="1"/>
  <c r="K256" i="1"/>
  <c r="H235" i="1"/>
  <c r="C235" i="1"/>
  <c r="H209" i="1"/>
  <c r="C209" i="1"/>
  <c r="H166" i="1"/>
  <c r="C166" i="1"/>
  <c r="H133" i="1"/>
  <c r="C133" i="1"/>
  <c r="K59" i="1"/>
  <c r="H18" i="1"/>
  <c r="C18" i="1"/>
  <c r="G10" i="1"/>
  <c r="F10" i="1"/>
  <c r="G8" i="1"/>
  <c r="K1008" i="1" s="1"/>
  <c r="F8" i="1"/>
  <c r="E8" i="1"/>
  <c r="G7" i="1"/>
  <c r="K405" i="1" s="1"/>
  <c r="F7" i="1"/>
  <c r="J486" i="1" s="1"/>
  <c r="E7" i="1"/>
  <c r="I650" i="1" s="1"/>
  <c r="K74" i="1" l="1"/>
  <c r="J156" i="1"/>
  <c r="K156" i="1"/>
  <c r="K160" i="1"/>
  <c r="K598" i="1"/>
  <c r="J530" i="1"/>
  <c r="K173" i="1"/>
  <c r="I59" i="1"/>
  <c r="Q59" i="1" s="1"/>
  <c r="S59" i="1" s="1"/>
  <c r="W59" i="1" s="1"/>
  <c r="U59" i="1" s="1"/>
  <c r="J59" i="1"/>
  <c r="M59" i="1" s="1"/>
  <c r="Y59" i="1" s="1"/>
  <c r="I606" i="1"/>
  <c r="O606" i="1" s="1"/>
  <c r="K91" i="1"/>
  <c r="I287" i="1"/>
  <c r="Q287" i="1" s="1"/>
  <c r="S287" i="1" s="1"/>
  <c r="W287" i="1" s="1"/>
  <c r="U287" i="1" s="1"/>
  <c r="K607" i="1"/>
  <c r="J93" i="1"/>
  <c r="J171" i="1"/>
  <c r="K290" i="1"/>
  <c r="K325" i="1"/>
  <c r="J109" i="1"/>
  <c r="J358" i="1"/>
  <c r="J105" i="1"/>
  <c r="K321" i="1"/>
  <c r="K105" i="1"/>
  <c r="I192" i="1"/>
  <c r="Q192" i="1" s="1"/>
  <c r="S192" i="1" s="1"/>
  <c r="W192" i="1" s="1"/>
  <c r="U192" i="1" s="1"/>
  <c r="K192" i="1"/>
  <c r="J126" i="1"/>
  <c r="K358" i="1"/>
  <c r="J37" i="1"/>
  <c r="K210" i="1"/>
  <c r="K407" i="1"/>
  <c r="J192" i="1"/>
  <c r="K347" i="1"/>
  <c r="K122" i="1"/>
  <c r="K353" i="1"/>
  <c r="J39" i="1"/>
  <c r="K143" i="1"/>
  <c r="J223" i="1"/>
  <c r="J418" i="1"/>
  <c r="M418" i="1" s="1"/>
  <c r="Y418" i="1" s="1"/>
  <c r="K109" i="1"/>
  <c r="K236" i="1"/>
  <c r="J407" i="1"/>
  <c r="Q1011" i="1"/>
  <c r="S1011" i="1" s="1"/>
  <c r="W1011" i="1" s="1"/>
  <c r="U1011" i="1" s="1"/>
  <c r="K39" i="1"/>
  <c r="K126" i="1"/>
  <c r="K176" i="1"/>
  <c r="K282" i="1"/>
  <c r="K418" i="1"/>
  <c r="I141" i="1"/>
  <c r="Q141" i="1" s="1"/>
  <c r="S141" i="1" s="1"/>
  <c r="W141" i="1" s="1"/>
  <c r="U141" i="1" s="1"/>
  <c r="I320" i="1"/>
  <c r="Q320" i="1" s="1"/>
  <c r="S320" i="1" s="1"/>
  <c r="W320" i="1" s="1"/>
  <c r="U320" i="1" s="1"/>
  <c r="O1016" i="1"/>
  <c r="J74" i="1"/>
  <c r="M74" i="1" s="1"/>
  <c r="Y74" i="1" s="1"/>
  <c r="J141" i="1"/>
  <c r="K204" i="1"/>
  <c r="I321" i="1"/>
  <c r="Q321" i="1" s="1"/>
  <c r="S321" i="1" s="1"/>
  <c r="W321" i="1" s="1"/>
  <c r="U321" i="1" s="1"/>
  <c r="J526" i="1"/>
  <c r="C16" i="1"/>
  <c r="C14" i="1" s="1"/>
  <c r="H16" i="1"/>
  <c r="H14" i="1" s="1"/>
  <c r="I464" i="1"/>
  <c r="Q464" i="1" s="1"/>
  <c r="S464" i="1" s="1"/>
  <c r="W464" i="1" s="1"/>
  <c r="U464" i="1" s="1"/>
  <c r="J464" i="1"/>
  <c r="J143" i="1"/>
  <c r="K526" i="1"/>
  <c r="I199" i="1"/>
  <c r="Q199" i="1" s="1"/>
  <c r="S199" i="1" s="1"/>
  <c r="W199" i="1" s="1"/>
  <c r="U199" i="1" s="1"/>
  <c r="J211" i="1"/>
  <c r="J333" i="1"/>
  <c r="K111" i="1"/>
  <c r="K490" i="1"/>
  <c r="K98" i="1"/>
  <c r="J250" i="1"/>
  <c r="G9" i="1"/>
  <c r="K1010" i="1" s="1"/>
  <c r="J30" i="1"/>
  <c r="I48" i="1"/>
  <c r="Q48" i="1" s="1"/>
  <c r="S48" i="1" s="1"/>
  <c r="W48" i="1" s="1"/>
  <c r="U48" i="1" s="1"/>
  <c r="K69" i="1"/>
  <c r="I83" i="1"/>
  <c r="Q83" i="1" s="1"/>
  <c r="S83" i="1" s="1"/>
  <c r="W83" i="1" s="1"/>
  <c r="U83" i="1" s="1"/>
  <c r="I100" i="1"/>
  <c r="Q100" i="1" s="1"/>
  <c r="S100" i="1" s="1"/>
  <c r="W100" i="1" s="1"/>
  <c r="U100" i="1" s="1"/>
  <c r="K115" i="1"/>
  <c r="I134" i="1"/>
  <c r="Q134" i="1" s="1"/>
  <c r="J150" i="1"/>
  <c r="J187" i="1"/>
  <c r="K201" i="1"/>
  <c r="J214" i="1"/>
  <c r="K250" i="1"/>
  <c r="I276" i="1"/>
  <c r="Q276" i="1" s="1"/>
  <c r="S276" i="1" s="1"/>
  <c r="W276" i="1" s="1"/>
  <c r="U276" i="1" s="1"/>
  <c r="K299" i="1"/>
  <c r="I337" i="1"/>
  <c r="Q337" i="1" s="1"/>
  <c r="S337" i="1" s="1"/>
  <c r="W337" i="1" s="1"/>
  <c r="U337" i="1" s="1"/>
  <c r="K387" i="1"/>
  <c r="K433" i="1"/>
  <c r="J495" i="1"/>
  <c r="J568" i="1"/>
  <c r="J699" i="1"/>
  <c r="I24" i="1"/>
  <c r="Q24" i="1" s="1"/>
  <c r="S24" i="1" s="1"/>
  <c r="W24" i="1" s="1"/>
  <c r="U24" i="1" s="1"/>
  <c r="I269" i="1"/>
  <c r="Q269" i="1" s="1"/>
  <c r="S269" i="1" s="1"/>
  <c r="W269" i="1" s="1"/>
  <c r="U269" i="1" s="1"/>
  <c r="O1012" i="1"/>
  <c r="I41" i="1"/>
  <c r="Q41" i="1" s="1"/>
  <c r="S41" i="1" s="1"/>
  <c r="W41" i="1" s="1"/>
  <c r="U41" i="1" s="1"/>
  <c r="J269" i="1"/>
  <c r="I473" i="1"/>
  <c r="Q473" i="1" s="1"/>
  <c r="S473" i="1" s="1"/>
  <c r="W473" i="1" s="1"/>
  <c r="U473" i="1" s="1"/>
  <c r="K94" i="1"/>
  <c r="I163" i="1"/>
  <c r="Q163" i="1" s="1"/>
  <c r="S163" i="1" s="1"/>
  <c r="W163" i="1" s="1"/>
  <c r="U163" i="1" s="1"/>
  <c r="K295" i="1"/>
  <c r="I362" i="1"/>
  <c r="Q362" i="1" s="1"/>
  <c r="S362" i="1" s="1"/>
  <c r="W362" i="1" s="1"/>
  <c r="U362" i="1" s="1"/>
  <c r="J28" i="1"/>
  <c r="I98" i="1"/>
  <c r="Q98" i="1" s="1"/>
  <c r="S98" i="1" s="1"/>
  <c r="W98" i="1" s="1"/>
  <c r="U98" i="1" s="1"/>
  <c r="J128" i="1"/>
  <c r="K178" i="1"/>
  <c r="J246" i="1"/>
  <c r="J362" i="1"/>
  <c r="J662" i="1"/>
  <c r="K28" i="1"/>
  <c r="J98" i="1"/>
  <c r="K145" i="1"/>
  <c r="I201" i="1"/>
  <c r="Q201" i="1" s="1"/>
  <c r="S201" i="1" s="1"/>
  <c r="W201" i="1" s="1"/>
  <c r="U201" i="1" s="1"/>
  <c r="K273" i="1"/>
  <c r="I369" i="1"/>
  <c r="Q369" i="1" s="1"/>
  <c r="S369" i="1" s="1"/>
  <c r="W369" i="1" s="1"/>
  <c r="U369" i="1" s="1"/>
  <c r="I30" i="1"/>
  <c r="Q30" i="1" s="1"/>
  <c r="S30" i="1" s="1"/>
  <c r="W30" i="1" s="1"/>
  <c r="U30" i="1" s="1"/>
  <c r="J65" i="1"/>
  <c r="I214" i="1"/>
  <c r="O214" i="1" s="1"/>
  <c r="K334" i="1"/>
  <c r="K428" i="1"/>
  <c r="I568" i="1"/>
  <c r="Q568" i="1" s="1"/>
  <c r="S568" i="1" s="1"/>
  <c r="W568" i="1" s="1"/>
  <c r="U568" i="1" s="1"/>
  <c r="J31" i="1"/>
  <c r="J48" i="1"/>
  <c r="I70" i="1"/>
  <c r="Q70" i="1" s="1"/>
  <c r="S70" i="1" s="1"/>
  <c r="W70" i="1" s="1"/>
  <c r="U70" i="1" s="1"/>
  <c r="J83" i="1"/>
  <c r="J100" i="1"/>
  <c r="J134" i="1"/>
  <c r="K150" i="1"/>
  <c r="J168" i="1"/>
  <c r="K187" i="1"/>
  <c r="I202" i="1"/>
  <c r="Q202" i="1" s="1"/>
  <c r="S202" i="1" s="1"/>
  <c r="W202" i="1" s="1"/>
  <c r="U202" i="1" s="1"/>
  <c r="K216" i="1"/>
  <c r="K252" i="1"/>
  <c r="J276" i="1"/>
  <c r="K304" i="1"/>
  <c r="J337" i="1"/>
  <c r="I394" i="1"/>
  <c r="Q394" i="1" s="1"/>
  <c r="S394" i="1" s="1"/>
  <c r="W394" i="1" s="1"/>
  <c r="U394" i="1" s="1"/>
  <c r="K435" i="1"/>
  <c r="K495" i="1"/>
  <c r="J583" i="1"/>
  <c r="J715" i="1"/>
  <c r="M715" i="1" s="1"/>
  <c r="Y715" i="1" s="1"/>
  <c r="I63" i="1"/>
  <c r="Q63" i="1" s="1"/>
  <c r="S63" i="1" s="1"/>
  <c r="W63" i="1" s="1"/>
  <c r="U63" i="1" s="1"/>
  <c r="J621" i="1"/>
  <c r="K76" i="1"/>
  <c r="J178" i="1"/>
  <c r="K639" i="1"/>
  <c r="J111" i="1"/>
  <c r="K426" i="1"/>
  <c r="J212" i="1"/>
  <c r="K333" i="1"/>
  <c r="J564" i="1"/>
  <c r="K46" i="1"/>
  <c r="K81" i="1"/>
  <c r="J115" i="1"/>
  <c r="K149" i="1"/>
  <c r="J180" i="1"/>
  <c r="J275" i="1"/>
  <c r="I378" i="1"/>
  <c r="O378" i="1" s="1"/>
  <c r="I495" i="1"/>
  <c r="O495" i="1" s="1"/>
  <c r="I35" i="1"/>
  <c r="O35" i="1" s="1"/>
  <c r="K48" i="1"/>
  <c r="J70" i="1"/>
  <c r="K83" i="1"/>
  <c r="K102" i="1"/>
  <c r="J116" i="1"/>
  <c r="K138" i="1"/>
  <c r="I152" i="1"/>
  <c r="Q152" i="1" s="1"/>
  <c r="S152" i="1" s="1"/>
  <c r="W152" i="1" s="1"/>
  <c r="U152" i="1" s="1"/>
  <c r="I169" i="1"/>
  <c r="O169" i="1" s="1"/>
  <c r="K189" i="1"/>
  <c r="J202" i="1"/>
  <c r="M202" i="1" s="1"/>
  <c r="Y202" i="1" s="1"/>
  <c r="I221" i="1"/>
  <c r="Q221" i="1" s="1"/>
  <c r="S221" i="1" s="1"/>
  <c r="W221" i="1" s="1"/>
  <c r="U221" i="1" s="1"/>
  <c r="J253" i="1"/>
  <c r="K276" i="1"/>
  <c r="K307" i="1"/>
  <c r="K337" i="1"/>
  <c r="J394" i="1"/>
  <c r="I441" i="1"/>
  <c r="Q441" i="1" s="1"/>
  <c r="S441" i="1" s="1"/>
  <c r="W441" i="1" s="1"/>
  <c r="U441" i="1" s="1"/>
  <c r="J501" i="1"/>
  <c r="K591" i="1"/>
  <c r="K849" i="1"/>
  <c r="J76" i="1"/>
  <c r="I178" i="1"/>
  <c r="Q178" i="1" s="1"/>
  <c r="S178" i="1" s="1"/>
  <c r="W178" i="1" s="1"/>
  <c r="U178" i="1" s="1"/>
  <c r="I555" i="1"/>
  <c r="Q555" i="1" s="1"/>
  <c r="S555" i="1" s="1"/>
  <c r="W555" i="1" s="1"/>
  <c r="U555" i="1" s="1"/>
  <c r="J63" i="1"/>
  <c r="I128" i="1"/>
  <c r="Q128" i="1" s="1"/>
  <c r="S128" i="1" s="1"/>
  <c r="W128" i="1" s="1"/>
  <c r="U128" i="1" s="1"/>
  <c r="J199" i="1"/>
  <c r="I329" i="1"/>
  <c r="Q329" i="1" s="1"/>
  <c r="S329" i="1" s="1"/>
  <c r="W329" i="1" s="1"/>
  <c r="U329" i="1" s="1"/>
  <c r="I481" i="1"/>
  <c r="Q481" i="1" s="1"/>
  <c r="S481" i="1" s="1"/>
  <c r="W481" i="1" s="1"/>
  <c r="U481" i="1" s="1"/>
  <c r="K80" i="1"/>
  <c r="K199" i="1"/>
  <c r="I490" i="1"/>
  <c r="O490" i="1" s="1"/>
  <c r="J81" i="1"/>
  <c r="K163" i="1"/>
  <c r="K298" i="1"/>
  <c r="J428" i="1"/>
  <c r="J665" i="1"/>
  <c r="J201" i="1"/>
  <c r="I299" i="1"/>
  <c r="Q299" i="1" s="1"/>
  <c r="S299" i="1" s="1"/>
  <c r="W299" i="1" s="1"/>
  <c r="U299" i="1" s="1"/>
  <c r="I675" i="1"/>
  <c r="Q675" i="1" s="1"/>
  <c r="S675" i="1" s="1"/>
  <c r="W675" i="1" s="1"/>
  <c r="U675" i="1" s="1"/>
  <c r="J35" i="1"/>
  <c r="I52" i="1"/>
  <c r="Q52" i="1" s="1"/>
  <c r="S52" i="1" s="1"/>
  <c r="W52" i="1" s="1"/>
  <c r="U52" i="1" s="1"/>
  <c r="K70" i="1"/>
  <c r="I87" i="1"/>
  <c r="Q87" i="1" s="1"/>
  <c r="S87" i="1" s="1"/>
  <c r="W87" i="1" s="1"/>
  <c r="U87" i="1" s="1"/>
  <c r="J104" i="1"/>
  <c r="K116" i="1"/>
  <c r="I139" i="1"/>
  <c r="Q139" i="1" s="1"/>
  <c r="S139" i="1" s="1"/>
  <c r="W139" i="1" s="1"/>
  <c r="U139" i="1" s="1"/>
  <c r="J152" i="1"/>
  <c r="J169" i="1"/>
  <c r="I190" i="1"/>
  <c r="Q190" i="1" s="1"/>
  <c r="S190" i="1" s="1"/>
  <c r="W190" i="1" s="1"/>
  <c r="U190" i="1" s="1"/>
  <c r="K202" i="1"/>
  <c r="J221" i="1"/>
  <c r="K253" i="1"/>
  <c r="I278" i="1"/>
  <c r="O278" i="1" s="1"/>
  <c r="I312" i="1"/>
  <c r="Q312" i="1" s="1"/>
  <c r="S312" i="1" s="1"/>
  <c r="W312" i="1" s="1"/>
  <c r="U312" i="1" s="1"/>
  <c r="K342" i="1"/>
  <c r="K394" i="1"/>
  <c r="I448" i="1"/>
  <c r="Q448" i="1" s="1"/>
  <c r="S448" i="1" s="1"/>
  <c r="W448" i="1" s="1"/>
  <c r="U448" i="1" s="1"/>
  <c r="K501" i="1"/>
  <c r="I594" i="1"/>
  <c r="Q594" i="1" s="1"/>
  <c r="S594" i="1" s="1"/>
  <c r="W594" i="1" s="1"/>
  <c r="U594" i="1" s="1"/>
  <c r="K855" i="1"/>
  <c r="I295" i="1"/>
  <c r="O295" i="1" s="1"/>
  <c r="J41" i="1"/>
  <c r="I145" i="1"/>
  <c r="Q145" i="1" s="1"/>
  <c r="S145" i="1" s="1"/>
  <c r="W145" i="1" s="1"/>
  <c r="U145" i="1" s="1"/>
  <c r="I272" i="1"/>
  <c r="O272" i="1" s="1"/>
  <c r="I425" i="1"/>
  <c r="O425" i="1" s="1"/>
  <c r="K63" i="1"/>
  <c r="M63" i="1" s="1"/>
  <c r="Y63" i="1" s="1"/>
  <c r="J163" i="1"/>
  <c r="I273" i="1"/>
  <c r="Q273" i="1" s="1"/>
  <c r="S273" i="1" s="1"/>
  <c r="W273" i="1" s="1"/>
  <c r="U273" i="1" s="1"/>
  <c r="J46" i="1"/>
  <c r="I180" i="1"/>
  <c r="Q180" i="1" s="1"/>
  <c r="S180" i="1" s="1"/>
  <c r="W180" i="1" s="1"/>
  <c r="U180" i="1" s="1"/>
  <c r="K35" i="1"/>
  <c r="J87" i="1"/>
  <c r="K152" i="1"/>
  <c r="J278" i="1"/>
  <c r="K512" i="1"/>
  <c r="I76" i="1"/>
  <c r="Q76" i="1" s="1"/>
  <c r="S76" i="1" s="1"/>
  <c r="W76" i="1" s="1"/>
  <c r="U76" i="1" s="1"/>
  <c r="I94" i="1"/>
  <c r="Q94" i="1" s="1"/>
  <c r="S94" i="1" s="1"/>
  <c r="W94" i="1" s="1"/>
  <c r="U94" i="1" s="1"/>
  <c r="J24" i="1"/>
  <c r="J94" i="1"/>
  <c r="J162" i="1"/>
  <c r="K24" i="1"/>
  <c r="I111" i="1"/>
  <c r="Q111" i="1" s="1"/>
  <c r="S111" i="1" s="1"/>
  <c r="W111" i="1" s="1"/>
  <c r="U111" i="1" s="1"/>
  <c r="I246" i="1"/>
  <c r="Q246" i="1" s="1"/>
  <c r="S246" i="1" s="1"/>
  <c r="W246" i="1" s="1"/>
  <c r="U246" i="1" s="1"/>
  <c r="K555" i="1"/>
  <c r="K41" i="1"/>
  <c r="J145" i="1"/>
  <c r="I212" i="1"/>
  <c r="Q212" i="1" s="1"/>
  <c r="S212" i="1" s="1"/>
  <c r="W212" i="1" s="1"/>
  <c r="U212" i="1" s="1"/>
  <c r="J298" i="1"/>
  <c r="J562" i="1"/>
  <c r="I65" i="1"/>
  <c r="O65" i="1" s="1"/>
  <c r="K246" i="1"/>
  <c r="J52" i="1"/>
  <c r="I72" i="1"/>
  <c r="O72" i="1" s="1"/>
  <c r="K104" i="1"/>
  <c r="I122" i="1"/>
  <c r="Q122" i="1" s="1"/>
  <c r="S122" i="1" s="1"/>
  <c r="W122" i="1" s="1"/>
  <c r="U122" i="1" s="1"/>
  <c r="J139" i="1"/>
  <c r="K169" i="1"/>
  <c r="J190" i="1"/>
  <c r="I204" i="1"/>
  <c r="O204" i="1" s="1"/>
  <c r="K221" i="1"/>
  <c r="J255" i="1"/>
  <c r="J317" i="1"/>
  <c r="I347" i="1"/>
  <c r="Q347" i="1" s="1"/>
  <c r="S347" i="1" s="1"/>
  <c r="W347" i="1" s="1"/>
  <c r="U347" i="1" s="1"/>
  <c r="K398" i="1"/>
  <c r="I455" i="1"/>
  <c r="Q455" i="1" s="1"/>
  <c r="S455" i="1" s="1"/>
  <c r="W455" i="1" s="1"/>
  <c r="U455" i="1" s="1"/>
  <c r="K594" i="1"/>
  <c r="J860" i="1"/>
  <c r="I37" i="1"/>
  <c r="Q37" i="1" s="1"/>
  <c r="S37" i="1" s="1"/>
  <c r="W37" i="1" s="1"/>
  <c r="U37" i="1" s="1"/>
  <c r="K52" i="1"/>
  <c r="J72" i="1"/>
  <c r="K87" i="1"/>
  <c r="I105" i="1"/>
  <c r="Q105" i="1" s="1"/>
  <c r="S105" i="1" s="1"/>
  <c r="W105" i="1" s="1"/>
  <c r="U105" i="1" s="1"/>
  <c r="J122" i="1"/>
  <c r="M122" i="1" s="1"/>
  <c r="Y122" i="1" s="1"/>
  <c r="K139" i="1"/>
  <c r="I156" i="1"/>
  <c r="Q156" i="1" s="1"/>
  <c r="S156" i="1" s="1"/>
  <c r="W156" i="1" s="1"/>
  <c r="U156" i="1" s="1"/>
  <c r="I171" i="1"/>
  <c r="O171" i="1" s="1"/>
  <c r="K190" i="1"/>
  <c r="J204" i="1"/>
  <c r="I223" i="1"/>
  <c r="Q223" i="1" s="1"/>
  <c r="S223" i="1" s="1"/>
  <c r="W223" i="1" s="1"/>
  <c r="U223" i="1" s="1"/>
  <c r="K255" i="1"/>
  <c r="J282" i="1"/>
  <c r="K317" i="1"/>
  <c r="J347" i="1"/>
  <c r="M347" i="1" s="1"/>
  <c r="Y347" i="1" s="1"/>
  <c r="J459" i="1"/>
  <c r="M459" i="1" s="1"/>
  <c r="Y459" i="1" s="1"/>
  <c r="I526" i="1"/>
  <c r="O526" i="1" s="1"/>
  <c r="J598" i="1"/>
  <c r="Q214" i="1"/>
  <c r="S214" i="1" s="1"/>
  <c r="W214" i="1" s="1"/>
  <c r="U214" i="1" s="1"/>
  <c r="O464" i="1"/>
  <c r="Q650" i="1"/>
  <c r="S650" i="1" s="1"/>
  <c r="W650" i="1" s="1"/>
  <c r="U650" i="1" s="1"/>
  <c r="O650" i="1"/>
  <c r="O455" i="1"/>
  <c r="Q606" i="1"/>
  <c r="S606" i="1" s="1"/>
  <c r="W606" i="1" s="1"/>
  <c r="U606" i="1" s="1"/>
  <c r="Q171" i="1"/>
  <c r="S171" i="1" s="1"/>
  <c r="W171" i="1" s="1"/>
  <c r="U171" i="1" s="1"/>
  <c r="O199" i="1"/>
  <c r="I291" i="1"/>
  <c r="J224" i="1"/>
  <c r="K1000" i="1"/>
  <c r="K993" i="1"/>
  <c r="K986" i="1"/>
  <c r="K979" i="1"/>
  <c r="K972" i="1"/>
  <c r="K965" i="1"/>
  <c r="K958" i="1"/>
  <c r="K951" i="1"/>
  <c r="K944" i="1"/>
  <c r="K937" i="1"/>
  <c r="K930" i="1"/>
  <c r="K923" i="1"/>
  <c r="K916" i="1"/>
  <c r="K909" i="1"/>
  <c r="K902" i="1"/>
  <c r="K1004" i="1"/>
  <c r="K997" i="1"/>
  <c r="K990" i="1"/>
  <c r="K983" i="1"/>
  <c r="K976" i="1"/>
  <c r="K969" i="1"/>
  <c r="K962" i="1"/>
  <c r="K955" i="1"/>
  <c r="K948" i="1"/>
  <c r="K941" i="1"/>
  <c r="K934" i="1"/>
  <c r="K927" i="1"/>
  <c r="K920" i="1"/>
  <c r="K913" i="1"/>
  <c r="K906" i="1"/>
  <c r="K899" i="1"/>
  <c r="K954" i="1"/>
  <c r="K943" i="1"/>
  <c r="K932" i="1"/>
  <c r="K1006" i="1"/>
  <c r="K995" i="1"/>
  <c r="K984" i="1"/>
  <c r="K973" i="1"/>
  <c r="K926" i="1"/>
  <c r="K922" i="1"/>
  <c r="K918" i="1"/>
  <c r="K914" i="1"/>
  <c r="K910" i="1"/>
  <c r="K894" i="1"/>
  <c r="K887" i="1"/>
  <c r="K880" i="1"/>
  <c r="K873" i="1"/>
  <c r="K866" i="1"/>
  <c r="K859" i="1"/>
  <c r="K982" i="1"/>
  <c r="K971" i="1"/>
  <c r="K960" i="1"/>
  <c r="K949" i="1"/>
  <c r="K938" i="1"/>
  <c r="K1001" i="1"/>
  <c r="K947" i="1"/>
  <c r="K936" i="1"/>
  <c r="K912" i="1"/>
  <c r="K908" i="1"/>
  <c r="K904" i="1"/>
  <c r="K900" i="1"/>
  <c r="K891" i="1"/>
  <c r="K884" i="1"/>
  <c r="K877" i="1"/>
  <c r="K870" i="1"/>
  <c r="K863" i="1"/>
  <c r="K956" i="1"/>
  <c r="K950" i="1"/>
  <c r="K931" i="1"/>
  <c r="K915" i="1"/>
  <c r="K869" i="1"/>
  <c r="K865" i="1"/>
  <c r="K861" i="1"/>
  <c r="K857" i="1"/>
  <c r="K850" i="1"/>
  <c r="K843" i="1"/>
  <c r="K836" i="1"/>
  <c r="K829" i="1"/>
  <c r="K822" i="1"/>
  <c r="K815" i="1"/>
  <c r="K808" i="1"/>
  <c r="K801" i="1"/>
  <c r="K794" i="1"/>
  <c r="K787" i="1"/>
  <c r="K780" i="1"/>
  <c r="K773" i="1"/>
  <c r="K766" i="1"/>
  <c r="K759" i="1"/>
  <c r="K752" i="1"/>
  <c r="K745" i="1"/>
  <c r="K738" i="1"/>
  <c r="K980" i="1"/>
  <c r="K974" i="1"/>
  <c r="K968" i="1"/>
  <c r="K998" i="1"/>
  <c r="K992" i="1"/>
  <c r="K917" i="1"/>
  <c r="K901" i="1"/>
  <c r="K898" i="1"/>
  <c r="K896" i="1"/>
  <c r="K892" i="1"/>
  <c r="K888" i="1"/>
  <c r="K854" i="1"/>
  <c r="K847" i="1"/>
  <c r="K840" i="1"/>
  <c r="K833" i="1"/>
  <c r="K826" i="1"/>
  <c r="K819" i="1"/>
  <c r="K812" i="1"/>
  <c r="K805" i="1"/>
  <c r="K798" i="1"/>
  <c r="K791" i="1"/>
  <c r="K784" i="1"/>
  <c r="K777" i="1"/>
  <c r="K770" i="1"/>
  <c r="K763" i="1"/>
  <c r="K756" i="1"/>
  <c r="K749" i="1"/>
  <c r="K742" i="1"/>
  <c r="K735" i="1"/>
  <c r="K728" i="1"/>
  <c r="K721" i="1"/>
  <c r="K714" i="1"/>
  <c r="K707" i="1"/>
  <c r="K952" i="1"/>
  <c r="K946" i="1"/>
  <c r="K940" i="1"/>
  <c r="K975" i="1"/>
  <c r="K970" i="1"/>
  <c r="K945" i="1"/>
  <c r="K928" i="1"/>
  <c r="K907" i="1"/>
  <c r="K903" i="1"/>
  <c r="K897" i="1"/>
  <c r="K874" i="1"/>
  <c r="K862" i="1"/>
  <c r="K864" i="1"/>
  <c r="K987" i="1"/>
  <c r="K953" i="1"/>
  <c r="K924" i="1"/>
  <c r="K889" i="1"/>
  <c r="K996" i="1"/>
  <c r="K991" i="1"/>
  <c r="K957" i="1"/>
  <c r="K879" i="1"/>
  <c r="K853" i="1"/>
  <c r="K851" i="1"/>
  <c r="K828" i="1"/>
  <c r="K961" i="1"/>
  <c r="K886" i="1"/>
  <c r="K881" i="1"/>
  <c r="K835" i="1"/>
  <c r="K810" i="1"/>
  <c r="K785" i="1"/>
  <c r="K999" i="1"/>
  <c r="K994" i="1"/>
  <c r="K935" i="1"/>
  <c r="K876" i="1"/>
  <c r="K871" i="1"/>
  <c r="K842" i="1"/>
  <c r="K890" i="1"/>
  <c r="K809" i="1"/>
  <c r="K790" i="1"/>
  <c r="K761" i="1"/>
  <c r="K736" i="1"/>
  <c r="K698" i="1"/>
  <c r="K691" i="1"/>
  <c r="K684" i="1"/>
  <c r="K677" i="1"/>
  <c r="K670" i="1"/>
  <c r="K663" i="1"/>
  <c r="K656" i="1"/>
  <c r="K649" i="1"/>
  <c r="K642" i="1"/>
  <c r="K635" i="1"/>
  <c r="K1005" i="1"/>
  <c r="K911" i="1"/>
  <c r="K905" i="1"/>
  <c r="K844" i="1"/>
  <c r="K813" i="1"/>
  <c r="K786" i="1"/>
  <c r="K768" i="1"/>
  <c r="K743" i="1"/>
  <c r="K711" i="1"/>
  <c r="K708" i="1"/>
  <c r="K705" i="1"/>
  <c r="K1003" i="1"/>
  <c r="K989" i="1"/>
  <c r="K981" i="1"/>
  <c r="K967" i="1"/>
  <c r="K959" i="1"/>
  <c r="K885" i="1"/>
  <c r="K837" i="1"/>
  <c r="K817" i="1"/>
  <c r="K811" i="1"/>
  <c r="K807" i="1"/>
  <c r="K775" i="1"/>
  <c r="K750" i="1"/>
  <c r="K729" i="1"/>
  <c r="K726" i="1"/>
  <c r="K723" i="1"/>
  <c r="K720" i="1"/>
  <c r="K717" i="1"/>
  <c r="K702" i="1"/>
  <c r="K695" i="1"/>
  <c r="K688" i="1"/>
  <c r="K681" i="1"/>
  <c r="K674" i="1"/>
  <c r="K667" i="1"/>
  <c r="K660" i="1"/>
  <c r="K653" i="1"/>
  <c r="K988" i="1"/>
  <c r="K966" i="1"/>
  <c r="K872" i="1"/>
  <c r="K830" i="1"/>
  <c r="K803" i="1"/>
  <c r="K799" i="1"/>
  <c r="K782" i="1"/>
  <c r="K757" i="1"/>
  <c r="K734" i="1"/>
  <c r="K732" i="1"/>
  <c r="K939" i="1"/>
  <c r="K929" i="1"/>
  <c r="K858" i="1"/>
  <c r="K832" i="1"/>
  <c r="K814" i="1"/>
  <c r="K792" i="1"/>
  <c r="K769" i="1"/>
  <c r="K744" i="1"/>
  <c r="K706" i="1"/>
  <c r="K704" i="1"/>
  <c r="K700" i="1"/>
  <c r="K696" i="1"/>
  <c r="K692" i="1"/>
  <c r="K659" i="1"/>
  <c r="K655" i="1"/>
  <c r="K651" i="1"/>
  <c r="K647" i="1"/>
  <c r="K628" i="1"/>
  <c r="K625" i="1"/>
  <c r="K616" i="1"/>
  <c r="K609" i="1"/>
  <c r="K602" i="1"/>
  <c r="K595" i="1"/>
  <c r="K588" i="1"/>
  <c r="K581" i="1"/>
  <c r="K574" i="1"/>
  <c r="K567" i="1"/>
  <c r="K1002" i="1"/>
  <c r="K895" i="1"/>
  <c r="K883" i="1"/>
  <c r="K841" i="1"/>
  <c r="K838" i="1"/>
  <c r="K800" i="1"/>
  <c r="K797" i="1"/>
  <c r="K789" i="1"/>
  <c r="K779" i="1"/>
  <c r="K771" i="1"/>
  <c r="K754" i="1"/>
  <c r="K746" i="1"/>
  <c r="K727" i="1"/>
  <c r="K725" i="1"/>
  <c r="K631" i="1"/>
  <c r="K919" i="1"/>
  <c r="K781" i="1"/>
  <c r="K741" i="1"/>
  <c r="K712" i="1"/>
  <c r="K694" i="1"/>
  <c r="K690" i="1"/>
  <c r="K686" i="1"/>
  <c r="K682" i="1"/>
  <c r="K678" i="1"/>
  <c r="K638" i="1"/>
  <c r="K636" i="1"/>
  <c r="K613" i="1"/>
  <c r="K606" i="1"/>
  <c r="K599" i="1"/>
  <c r="K592" i="1"/>
  <c r="K585" i="1"/>
  <c r="K578" i="1"/>
  <c r="K571" i="1"/>
  <c r="K564" i="1"/>
  <c r="K557" i="1"/>
  <c r="K550" i="1"/>
  <c r="K543" i="1"/>
  <c r="K536" i="1"/>
  <c r="K529" i="1"/>
  <c r="K522" i="1"/>
  <c r="K515" i="1"/>
  <c r="K508" i="1"/>
  <c r="K942" i="1"/>
  <c r="K846" i="1"/>
  <c r="K804" i="1"/>
  <c r="K796" i="1"/>
  <c r="K793" i="1"/>
  <c r="K755" i="1"/>
  <c r="K709" i="1"/>
  <c r="K701" i="1"/>
  <c r="K697" i="1"/>
  <c r="K693" i="1"/>
  <c r="K875" i="1"/>
  <c r="K848" i="1"/>
  <c r="K776" i="1"/>
  <c r="K748" i="1"/>
  <c r="K731" i="1"/>
  <c r="K722" i="1"/>
  <c r="K716" i="1"/>
  <c r="K710" i="1"/>
  <c r="K683" i="1"/>
  <c r="K648" i="1"/>
  <c r="K643" i="1"/>
  <c r="K641" i="1"/>
  <c r="K604" i="1"/>
  <c r="K579" i="1"/>
  <c r="K560" i="1"/>
  <c r="K925" i="1"/>
  <c r="K852" i="1"/>
  <c r="K839" i="1"/>
  <c r="K834" i="1"/>
  <c r="K783" i="1"/>
  <c r="K762" i="1"/>
  <c r="K719" i="1"/>
  <c r="K713" i="1"/>
  <c r="K685" i="1"/>
  <c r="K673" i="1"/>
  <c r="K825" i="1"/>
  <c r="K821" i="1"/>
  <c r="K751" i="1"/>
  <c r="K680" i="1"/>
  <c r="K675" i="1"/>
  <c r="K964" i="1"/>
  <c r="K882" i="1"/>
  <c r="K765" i="1"/>
  <c r="K758" i="1"/>
  <c r="K737" i="1"/>
  <c r="K730" i="1"/>
  <c r="K718" i="1"/>
  <c r="K740" i="1"/>
  <c r="K646" i="1"/>
  <c r="K629" i="1"/>
  <c r="K621" i="1"/>
  <c r="K619" i="1"/>
  <c r="K615" i="1"/>
  <c r="K611" i="1"/>
  <c r="K590" i="1"/>
  <c r="K586" i="1"/>
  <c r="K565" i="1"/>
  <c r="K542" i="1"/>
  <c r="K537" i="1"/>
  <c r="K933" i="1"/>
  <c r="K764" i="1"/>
  <c r="K676" i="1"/>
  <c r="K672" i="1"/>
  <c r="K778" i="1"/>
  <c r="K774" i="1"/>
  <c r="K666" i="1"/>
  <c r="K603" i="1"/>
  <c r="K584" i="1"/>
  <c r="K545" i="1"/>
  <c r="K540" i="1"/>
  <c r="K532" i="1"/>
  <c r="K506" i="1"/>
  <c r="K503" i="1"/>
  <c r="K827" i="1"/>
  <c r="K739" i="1"/>
  <c r="K679" i="1"/>
  <c r="K669" i="1"/>
  <c r="K605" i="1"/>
  <c r="K580" i="1"/>
  <c r="K561" i="1"/>
  <c r="K553" i="1"/>
  <c r="K527" i="1"/>
  <c r="K514" i="1"/>
  <c r="K488" i="1"/>
  <c r="K481" i="1"/>
  <c r="K860" i="1"/>
  <c r="K753" i="1"/>
  <c r="K689" i="1"/>
  <c r="K662" i="1"/>
  <c r="K601" i="1"/>
  <c r="K576" i="1"/>
  <c r="K548" i="1"/>
  <c r="K535" i="1"/>
  <c r="K509" i="1"/>
  <c r="K893" i="1"/>
  <c r="K733" i="1"/>
  <c r="K985" i="1"/>
  <c r="K963" i="1"/>
  <c r="K831" i="1"/>
  <c r="K703" i="1"/>
  <c r="K664" i="1"/>
  <c r="K818" i="1"/>
  <c r="K626" i="1"/>
  <c r="K620" i="1"/>
  <c r="K596" i="1"/>
  <c r="K593" i="1"/>
  <c r="K559" i="1"/>
  <c r="K516" i="1"/>
  <c r="K475" i="1"/>
  <c r="K472" i="1"/>
  <c r="K469" i="1"/>
  <c r="K466" i="1"/>
  <c r="K463" i="1"/>
  <c r="K460" i="1"/>
  <c r="K816" i="1"/>
  <c r="K806" i="1"/>
  <c r="K795" i="1"/>
  <c r="K687" i="1"/>
  <c r="K640" i="1"/>
  <c r="K612" i="1"/>
  <c r="K534" i="1"/>
  <c r="K480" i="1"/>
  <c r="K478" i="1"/>
  <c r="K451" i="1"/>
  <c r="K444" i="1"/>
  <c r="K437" i="1"/>
  <c r="K430" i="1"/>
  <c r="K423" i="1"/>
  <c r="K416" i="1"/>
  <c r="K409" i="1"/>
  <c r="K402" i="1"/>
  <c r="K395" i="1"/>
  <c r="K388" i="1"/>
  <c r="K381" i="1"/>
  <c r="K661" i="1"/>
  <c r="K652" i="1"/>
  <c r="K644" i="1"/>
  <c r="K623" i="1"/>
  <c r="K577" i="1"/>
  <c r="K569" i="1"/>
  <c r="K566" i="1"/>
  <c r="K552" i="1"/>
  <c r="K520" i="1"/>
  <c r="K518" i="1"/>
  <c r="K498" i="1"/>
  <c r="K487" i="1"/>
  <c r="K485" i="1"/>
  <c r="K772" i="1"/>
  <c r="K724" i="1"/>
  <c r="K632" i="1"/>
  <c r="K617" i="1"/>
  <c r="K614" i="1"/>
  <c r="K582" i="1"/>
  <c r="K554" i="1"/>
  <c r="K538" i="1"/>
  <c r="K511" i="1"/>
  <c r="K504" i="1"/>
  <c r="K500" i="1"/>
  <c r="K448" i="1"/>
  <c r="K441" i="1"/>
  <c r="K434" i="1"/>
  <c r="K427" i="1"/>
  <c r="K420" i="1"/>
  <c r="K413" i="1"/>
  <c r="K406" i="1"/>
  <c r="K399" i="1"/>
  <c r="K392" i="1"/>
  <c r="K385" i="1"/>
  <c r="K378" i="1"/>
  <c r="K371" i="1"/>
  <c r="K364" i="1"/>
  <c r="K357" i="1"/>
  <c r="K350" i="1"/>
  <c r="K343" i="1"/>
  <c r="K336" i="1"/>
  <c r="K329" i="1"/>
  <c r="K322" i="1"/>
  <c r="K315" i="1"/>
  <c r="K308" i="1"/>
  <c r="K301" i="1"/>
  <c r="K294" i="1"/>
  <c r="K287" i="1"/>
  <c r="K280" i="1"/>
  <c r="K868" i="1"/>
  <c r="K824" i="1"/>
  <c r="K802" i="1"/>
  <c r="K715" i="1"/>
  <c r="K671" i="1"/>
  <c r="K665" i="1"/>
  <c r="K568" i="1"/>
  <c r="K556" i="1"/>
  <c r="K513" i="1"/>
  <c r="K502" i="1"/>
  <c r="K496" i="1"/>
  <c r="K494" i="1"/>
  <c r="K492" i="1"/>
  <c r="K464" i="1"/>
  <c r="K461" i="1"/>
  <c r="K458" i="1"/>
  <c r="K455" i="1"/>
  <c r="K823" i="1"/>
  <c r="K788" i="1"/>
  <c r="K622" i="1"/>
  <c r="K618" i="1"/>
  <c r="K572" i="1"/>
  <c r="K549" i="1"/>
  <c r="K528" i="1"/>
  <c r="K517" i="1"/>
  <c r="K507" i="1"/>
  <c r="K470" i="1"/>
  <c r="K454" i="1"/>
  <c r="K443" i="1"/>
  <c r="K432" i="1"/>
  <c r="K421" i="1"/>
  <c r="K410" i="1"/>
  <c r="K346" i="1"/>
  <c r="K297" i="1"/>
  <c r="K657" i="1"/>
  <c r="K627" i="1"/>
  <c r="K563" i="1"/>
  <c r="K539" i="1"/>
  <c r="K531" i="1"/>
  <c r="K510" i="1"/>
  <c r="K497" i="1"/>
  <c r="K456" i="1"/>
  <c r="K419" i="1"/>
  <c r="K408" i="1"/>
  <c r="K397" i="1"/>
  <c r="K386" i="1"/>
  <c r="K878" i="1"/>
  <c r="K845" i="1"/>
  <c r="K524" i="1"/>
  <c r="K521" i="1"/>
  <c r="K491" i="1"/>
  <c r="K449" i="1"/>
  <c r="K438" i="1"/>
  <c r="K384" i="1"/>
  <c r="K332" i="1"/>
  <c r="K242" i="1"/>
  <c r="K921" i="1"/>
  <c r="K767" i="1"/>
  <c r="K600" i="1"/>
  <c r="K477" i="1"/>
  <c r="K465" i="1"/>
  <c r="K447" i="1"/>
  <c r="K436" i="1"/>
  <c r="K425" i="1"/>
  <c r="K414" i="1"/>
  <c r="K403" i="1"/>
  <c r="K373" i="1"/>
  <c r="K369" i="1"/>
  <c r="K365" i="1"/>
  <c r="K361" i="1"/>
  <c r="K328" i="1"/>
  <c r="K324" i="1"/>
  <c r="K320" i="1"/>
  <c r="K316" i="1"/>
  <c r="K312" i="1"/>
  <c r="K283" i="1"/>
  <c r="K263" i="1"/>
  <c r="K260" i="1"/>
  <c r="K257" i="1"/>
  <c r="K254" i="1"/>
  <c r="K251" i="1"/>
  <c r="K248" i="1"/>
  <c r="K245" i="1"/>
  <c r="K820" i="1"/>
  <c r="K637" i="1"/>
  <c r="K587" i="1"/>
  <c r="K575" i="1"/>
  <c r="K467" i="1"/>
  <c r="K412" i="1"/>
  <c r="K401" i="1"/>
  <c r="K390" i="1"/>
  <c r="K379" i="1"/>
  <c r="K367" i="1"/>
  <c r="K318" i="1"/>
  <c r="K278" i="1"/>
  <c r="K275" i="1"/>
  <c r="K272" i="1"/>
  <c r="K269" i="1"/>
  <c r="K266" i="1"/>
  <c r="K232" i="1"/>
  <c r="K229" i="1"/>
  <c r="K226" i="1"/>
  <c r="K219" i="1"/>
  <c r="K212" i="1"/>
  <c r="K207" i="1"/>
  <c r="K200" i="1"/>
  <c r="K193" i="1"/>
  <c r="K186" i="1"/>
  <c r="K179" i="1"/>
  <c r="K172" i="1"/>
  <c r="K747" i="1"/>
  <c r="K654" i="1"/>
  <c r="K630" i="1"/>
  <c r="K583" i="1"/>
  <c r="K570" i="1"/>
  <c r="K562" i="1"/>
  <c r="K551" i="1"/>
  <c r="K541" i="1"/>
  <c r="K530" i="1"/>
  <c r="K499" i="1"/>
  <c r="K493" i="1"/>
  <c r="K476" i="1"/>
  <c r="K474" i="1"/>
  <c r="K440" i="1"/>
  <c r="K429" i="1"/>
  <c r="K597" i="1"/>
  <c r="K589" i="1"/>
  <c r="K523" i="1"/>
  <c r="K505" i="1"/>
  <c r="K484" i="1"/>
  <c r="K462" i="1"/>
  <c r="K439" i="1"/>
  <c r="K417" i="1"/>
  <c r="K400" i="1"/>
  <c r="K383" i="1"/>
  <c r="K377" i="1"/>
  <c r="K366" i="1"/>
  <c r="K363" i="1"/>
  <c r="K344" i="1"/>
  <c r="K341" i="1"/>
  <c r="K319" i="1"/>
  <c r="K303" i="1"/>
  <c r="K300" i="1"/>
  <c r="K281" i="1"/>
  <c r="K279" i="1"/>
  <c r="K277" i="1"/>
  <c r="K243" i="1"/>
  <c r="K239" i="1"/>
  <c r="K237" i="1"/>
  <c r="K233" i="1"/>
  <c r="K225" i="1"/>
  <c r="K222" i="1"/>
  <c r="K197" i="1"/>
  <c r="K194" i="1"/>
  <c r="K191" i="1"/>
  <c r="K188" i="1"/>
  <c r="K185" i="1"/>
  <c r="K182" i="1"/>
  <c r="K167" i="1"/>
  <c r="K161" i="1"/>
  <c r="K154" i="1"/>
  <c r="K147" i="1"/>
  <c r="K140" i="1"/>
  <c r="K127" i="1"/>
  <c r="K120" i="1"/>
  <c r="K113" i="1"/>
  <c r="K106" i="1"/>
  <c r="K99" i="1"/>
  <c r="K92" i="1"/>
  <c r="K85" i="1"/>
  <c r="K78" i="1"/>
  <c r="K71" i="1"/>
  <c r="K64" i="1"/>
  <c r="K57" i="1"/>
  <c r="K50" i="1"/>
  <c r="K43" i="1"/>
  <c r="K36" i="1"/>
  <c r="K29" i="1"/>
  <c r="K22" i="1"/>
  <c r="K658" i="1"/>
  <c r="K645" i="1"/>
  <c r="K547" i="1"/>
  <c r="K489" i="1"/>
  <c r="K446" i="1"/>
  <c r="K442" i="1"/>
  <c r="K396" i="1"/>
  <c r="K374" i="1"/>
  <c r="K330" i="1"/>
  <c r="K311" i="1"/>
  <c r="K289" i="1"/>
  <c r="K264" i="1"/>
  <c r="K241" i="1"/>
  <c r="K228" i="1"/>
  <c r="K206" i="1"/>
  <c r="K203" i="1"/>
  <c r="K978" i="1"/>
  <c r="K450" i="1"/>
  <c r="K393" i="1"/>
  <c r="K380" i="1"/>
  <c r="K368" i="1"/>
  <c r="K352" i="1"/>
  <c r="K349" i="1"/>
  <c r="K327" i="1"/>
  <c r="K305" i="1"/>
  <c r="K302" i="1"/>
  <c r="K286" i="1"/>
  <c r="K262" i="1"/>
  <c r="K249" i="1"/>
  <c r="K158" i="1"/>
  <c r="K151" i="1"/>
  <c r="K144" i="1"/>
  <c r="K137" i="1"/>
  <c r="K124" i="1"/>
  <c r="K117" i="1"/>
  <c r="K110" i="1"/>
  <c r="K103" i="1"/>
  <c r="K96" i="1"/>
  <c r="K89" i="1"/>
  <c r="K82" i="1"/>
  <c r="K75" i="1"/>
  <c r="K68" i="1"/>
  <c r="K61" i="1"/>
  <c r="K54" i="1"/>
  <c r="K47" i="1"/>
  <c r="K40" i="1"/>
  <c r="K33" i="1"/>
  <c r="K26" i="1"/>
  <c r="K19" i="1"/>
  <c r="K977" i="1"/>
  <c r="K867" i="1"/>
  <c r="K634" i="1"/>
  <c r="K610" i="1"/>
  <c r="K483" i="1"/>
  <c r="K453" i="1"/>
  <c r="K389" i="1"/>
  <c r="K360" i="1"/>
  <c r="K338" i="1"/>
  <c r="K270" i="1"/>
  <c r="K247" i="1"/>
  <c r="K231" i="1"/>
  <c r="K760" i="1"/>
  <c r="K668" i="1"/>
  <c r="K624" i="1"/>
  <c r="K573" i="1"/>
  <c r="K558" i="1"/>
  <c r="K533" i="1"/>
  <c r="K354" i="1"/>
  <c r="K351" i="1"/>
  <c r="K335" i="1"/>
  <c r="K313" i="1"/>
  <c r="K310" i="1"/>
  <c r="K291" i="1"/>
  <c r="K288" i="1"/>
  <c r="K268" i="1"/>
  <c r="K223" i="1"/>
  <c r="K220" i="1"/>
  <c r="K217" i="1"/>
  <c r="K214" i="1"/>
  <c r="K211" i="1"/>
  <c r="K183" i="1"/>
  <c r="K180" i="1"/>
  <c r="K177" i="1"/>
  <c r="K174" i="1"/>
  <c r="K171" i="1"/>
  <c r="M171" i="1" s="1"/>
  <c r="Y171" i="1" s="1"/>
  <c r="K168" i="1"/>
  <c r="K162" i="1"/>
  <c r="K155" i="1"/>
  <c r="K148" i="1"/>
  <c r="K141" i="1"/>
  <c r="K134" i="1"/>
  <c r="K128" i="1"/>
  <c r="K121" i="1"/>
  <c r="K114" i="1"/>
  <c r="K107" i="1"/>
  <c r="K100" i="1"/>
  <c r="K93" i="1"/>
  <c r="K86" i="1"/>
  <c r="K79" i="1"/>
  <c r="K72" i="1"/>
  <c r="K65" i="1"/>
  <c r="K58" i="1"/>
  <c r="K51" i="1"/>
  <c r="K44" i="1"/>
  <c r="K37" i="1"/>
  <c r="K30" i="1"/>
  <c r="K23" i="1"/>
  <c r="K633" i="1"/>
  <c r="K608" i="1"/>
  <c r="K482" i="1"/>
  <c r="K473" i="1"/>
  <c r="K457" i="1"/>
  <c r="K382" i="1"/>
  <c r="K856" i="1"/>
  <c r="K546" i="1"/>
  <c r="K445" i="1"/>
  <c r="K362" i="1"/>
  <c r="K359" i="1"/>
  <c r="K699" i="1"/>
  <c r="K31" i="1"/>
  <c r="K53" i="1"/>
  <c r="J55" i="1"/>
  <c r="J66" i="1"/>
  <c r="J77" i="1"/>
  <c r="I79" i="1"/>
  <c r="J88" i="1"/>
  <c r="I90" i="1"/>
  <c r="I101" i="1"/>
  <c r="I112" i="1"/>
  <c r="K118" i="1"/>
  <c r="K129" i="1"/>
  <c r="J135" i="1"/>
  <c r="J146" i="1"/>
  <c r="I148" i="1"/>
  <c r="J157" i="1"/>
  <c r="I159" i="1"/>
  <c r="I174" i="1"/>
  <c r="K181" i="1"/>
  <c r="I193" i="1"/>
  <c r="J195" i="1"/>
  <c r="I217" i="1"/>
  <c r="K224" i="1"/>
  <c r="I229" i="1"/>
  <c r="K240" i="1"/>
  <c r="J244" i="1"/>
  <c r="I267" i="1"/>
  <c r="I280" i="1"/>
  <c r="K292" i="1"/>
  <c r="J296" i="1"/>
  <c r="K309" i="1"/>
  <c r="J313" i="1"/>
  <c r="I331" i="1"/>
  <c r="K339" i="1"/>
  <c r="K348" i="1"/>
  <c r="I370" i="1"/>
  <c r="K375" i="1"/>
  <c r="J401" i="1"/>
  <c r="K415" i="1"/>
  <c r="I422" i="1"/>
  <c r="K468" i="1"/>
  <c r="I544" i="1"/>
  <c r="I1003" i="1"/>
  <c r="I996" i="1"/>
  <c r="I989" i="1"/>
  <c r="I982" i="1"/>
  <c r="I975" i="1"/>
  <c r="I968" i="1"/>
  <c r="I961" i="1"/>
  <c r="I954" i="1"/>
  <c r="I947" i="1"/>
  <c r="I940" i="1"/>
  <c r="I933" i="1"/>
  <c r="I926" i="1"/>
  <c r="I919" i="1"/>
  <c r="I912" i="1"/>
  <c r="I905" i="1"/>
  <c r="I898" i="1"/>
  <c r="I1000" i="1"/>
  <c r="I993" i="1"/>
  <c r="I986" i="1"/>
  <c r="I979" i="1"/>
  <c r="I972" i="1"/>
  <c r="I965" i="1"/>
  <c r="I958" i="1"/>
  <c r="I951" i="1"/>
  <c r="I944" i="1"/>
  <c r="I937" i="1"/>
  <c r="I930" i="1"/>
  <c r="I923" i="1"/>
  <c r="I916" i="1"/>
  <c r="I909" i="1"/>
  <c r="I902" i="1"/>
  <c r="I1002" i="1"/>
  <c r="I991" i="1"/>
  <c r="I980" i="1"/>
  <c r="I969" i="1"/>
  <c r="I978" i="1"/>
  <c r="I967" i="1"/>
  <c r="I956" i="1"/>
  <c r="I945" i="1"/>
  <c r="I934" i="1"/>
  <c r="I928" i="1"/>
  <c r="I924" i="1"/>
  <c r="I920" i="1"/>
  <c r="I897" i="1"/>
  <c r="I890" i="1"/>
  <c r="I883" i="1"/>
  <c r="I876" i="1"/>
  <c r="I869" i="1"/>
  <c r="I862" i="1"/>
  <c r="I997" i="1"/>
  <c r="I943" i="1"/>
  <c r="I932" i="1"/>
  <c r="I1006" i="1"/>
  <c r="I995" i="1"/>
  <c r="I984" i="1"/>
  <c r="I973" i="1"/>
  <c r="I962" i="1"/>
  <c r="I922" i="1"/>
  <c r="I918" i="1"/>
  <c r="I914" i="1"/>
  <c r="I910" i="1"/>
  <c r="I906" i="1"/>
  <c r="I894" i="1"/>
  <c r="I887" i="1"/>
  <c r="I880" i="1"/>
  <c r="I873" i="1"/>
  <c r="I866" i="1"/>
  <c r="I859" i="1"/>
  <c r="I959" i="1"/>
  <c r="I953" i="1"/>
  <c r="I929" i="1"/>
  <c r="I907" i="1"/>
  <c r="I904" i="1"/>
  <c r="I879" i="1"/>
  <c r="I875" i="1"/>
  <c r="I871" i="1"/>
  <c r="I867" i="1"/>
  <c r="I863" i="1"/>
  <c r="I853" i="1"/>
  <c r="I846" i="1"/>
  <c r="I839" i="1"/>
  <c r="I832" i="1"/>
  <c r="I825" i="1"/>
  <c r="I818" i="1"/>
  <c r="I811" i="1"/>
  <c r="I804" i="1"/>
  <c r="I797" i="1"/>
  <c r="I790" i="1"/>
  <c r="I783" i="1"/>
  <c r="I776" i="1"/>
  <c r="I769" i="1"/>
  <c r="I762" i="1"/>
  <c r="I755" i="1"/>
  <c r="I748" i="1"/>
  <c r="I741" i="1"/>
  <c r="I734" i="1"/>
  <c r="I983" i="1"/>
  <c r="I977" i="1"/>
  <c r="I971" i="1"/>
  <c r="I1001" i="1"/>
  <c r="I950" i="1"/>
  <c r="I931" i="1"/>
  <c r="I915" i="1"/>
  <c r="I865" i="1"/>
  <c r="I861" i="1"/>
  <c r="I857" i="1"/>
  <c r="I850" i="1"/>
  <c r="I843" i="1"/>
  <c r="I836" i="1"/>
  <c r="I829" i="1"/>
  <c r="I822" i="1"/>
  <c r="I815" i="1"/>
  <c r="I808" i="1"/>
  <c r="I801" i="1"/>
  <c r="I794" i="1"/>
  <c r="I787" i="1"/>
  <c r="I780" i="1"/>
  <c r="I773" i="1"/>
  <c r="I766" i="1"/>
  <c r="I759" i="1"/>
  <c r="I752" i="1"/>
  <c r="I745" i="1"/>
  <c r="I738" i="1"/>
  <c r="I731" i="1"/>
  <c r="I724" i="1"/>
  <c r="I717" i="1"/>
  <c r="I710" i="1"/>
  <c r="I974" i="1"/>
  <c r="I955" i="1"/>
  <c r="I949" i="1"/>
  <c r="I992" i="1"/>
  <c r="I882" i="1"/>
  <c r="I877" i="1"/>
  <c r="I1005" i="1"/>
  <c r="I966" i="1"/>
  <c r="I941" i="1"/>
  <c r="I921" i="1"/>
  <c r="I917" i="1"/>
  <c r="I884" i="1"/>
  <c r="I872" i="1"/>
  <c r="I1004" i="1"/>
  <c r="I970" i="1"/>
  <c r="I936" i="1"/>
  <c r="I903" i="1"/>
  <c r="I874" i="1"/>
  <c r="I855" i="1"/>
  <c r="I864" i="1"/>
  <c r="I837" i="1"/>
  <c r="I814" i="1"/>
  <c r="I812" i="1"/>
  <c r="I987" i="1"/>
  <c r="I948" i="1"/>
  <c r="I927" i="1"/>
  <c r="I913" i="1"/>
  <c r="I889" i="1"/>
  <c r="I844" i="1"/>
  <c r="I821" i="1"/>
  <c r="I819" i="1"/>
  <c r="I796" i="1"/>
  <c r="I957" i="1"/>
  <c r="I952" i="1"/>
  <c r="I899" i="1"/>
  <c r="I896" i="1"/>
  <c r="I891" i="1"/>
  <c r="I851" i="1"/>
  <c r="I828" i="1"/>
  <c r="I826" i="1"/>
  <c r="I881" i="1"/>
  <c r="I842" i="1"/>
  <c r="I792" i="1"/>
  <c r="I772" i="1"/>
  <c r="I770" i="1"/>
  <c r="I747" i="1"/>
  <c r="I701" i="1"/>
  <c r="I694" i="1"/>
  <c r="I687" i="1"/>
  <c r="I680" i="1"/>
  <c r="I673" i="1"/>
  <c r="I666" i="1"/>
  <c r="I659" i="1"/>
  <c r="I652" i="1"/>
  <c r="I645" i="1"/>
  <c r="I638" i="1"/>
  <c r="I631" i="1"/>
  <c r="I868" i="1"/>
  <c r="I835" i="1"/>
  <c r="I788" i="1"/>
  <c r="I779" i="1"/>
  <c r="I777" i="1"/>
  <c r="I754" i="1"/>
  <c r="I809" i="1"/>
  <c r="I784" i="1"/>
  <c r="I761" i="1"/>
  <c r="I736" i="1"/>
  <c r="I698" i="1"/>
  <c r="I691" i="1"/>
  <c r="I684" i="1"/>
  <c r="I677" i="1"/>
  <c r="I670" i="1"/>
  <c r="I663" i="1"/>
  <c r="I656" i="1"/>
  <c r="I649" i="1"/>
  <c r="I911" i="1"/>
  <c r="I813" i="1"/>
  <c r="I805" i="1"/>
  <c r="I786" i="1"/>
  <c r="I768" i="1"/>
  <c r="I743" i="1"/>
  <c r="I714" i="1"/>
  <c r="I711" i="1"/>
  <c r="I708" i="1"/>
  <c r="I705" i="1"/>
  <c r="I981" i="1"/>
  <c r="I848" i="1"/>
  <c r="I845" i="1"/>
  <c r="I820" i="1"/>
  <c r="I764" i="1"/>
  <c r="I739" i="1"/>
  <c r="I723" i="1"/>
  <c r="I721" i="1"/>
  <c r="I702" i="1"/>
  <c r="I669" i="1"/>
  <c r="I665" i="1"/>
  <c r="I661" i="1"/>
  <c r="I657" i="1"/>
  <c r="I653" i="1"/>
  <c r="I633" i="1"/>
  <c r="I612" i="1"/>
  <c r="I605" i="1"/>
  <c r="I598" i="1"/>
  <c r="I591" i="1"/>
  <c r="I584" i="1"/>
  <c r="I577" i="1"/>
  <c r="I570" i="1"/>
  <c r="I563" i="1"/>
  <c r="I960" i="1"/>
  <c r="I888" i="1"/>
  <c r="I854" i="1"/>
  <c r="I774" i="1"/>
  <c r="I749" i="1"/>
  <c r="I719" i="1"/>
  <c r="I640" i="1"/>
  <c r="I625" i="1"/>
  <c r="I622" i="1"/>
  <c r="I619" i="1"/>
  <c r="I990" i="1"/>
  <c r="I939" i="1"/>
  <c r="I870" i="1"/>
  <c r="I858" i="1"/>
  <c r="I744" i="1"/>
  <c r="I729" i="1"/>
  <c r="I706" i="1"/>
  <c r="I704" i="1"/>
  <c r="I700" i="1"/>
  <c r="I696" i="1"/>
  <c r="I692" i="1"/>
  <c r="I688" i="1"/>
  <c r="I655" i="1"/>
  <c r="I651" i="1"/>
  <c r="I647" i="1"/>
  <c r="I628" i="1"/>
  <c r="I616" i="1"/>
  <c r="I609" i="1"/>
  <c r="I602" i="1"/>
  <c r="I595" i="1"/>
  <c r="I588" i="1"/>
  <c r="I581" i="1"/>
  <c r="I574" i="1"/>
  <c r="I567" i="1"/>
  <c r="I560" i="1"/>
  <c r="I553" i="1"/>
  <c r="I546" i="1"/>
  <c r="I539" i="1"/>
  <c r="I532" i="1"/>
  <c r="I525" i="1"/>
  <c r="I518" i="1"/>
  <c r="I511" i="1"/>
  <c r="I976" i="1"/>
  <c r="I964" i="1"/>
  <c r="I925" i="1"/>
  <c r="I886" i="1"/>
  <c r="I775" i="1"/>
  <c r="I758" i="1"/>
  <c r="I750" i="1"/>
  <c r="I733" i="1"/>
  <c r="I726" i="1"/>
  <c r="I703" i="1"/>
  <c r="I699" i="1"/>
  <c r="I695" i="1"/>
  <c r="I999" i="1"/>
  <c r="I806" i="1"/>
  <c r="I802" i="1"/>
  <c r="I725" i="1"/>
  <c r="I668" i="1"/>
  <c r="I632" i="1"/>
  <c r="I615" i="1"/>
  <c r="I613" i="1"/>
  <c r="I590" i="1"/>
  <c r="I565" i="1"/>
  <c r="I536" i="1"/>
  <c r="I533" i="1"/>
  <c r="I530" i="1"/>
  <c r="I527" i="1"/>
  <c r="I524" i="1"/>
  <c r="I521" i="1"/>
  <c r="I998" i="1"/>
  <c r="I985" i="1"/>
  <c r="I892" i="1"/>
  <c r="I830" i="1"/>
  <c r="I728" i="1"/>
  <c r="I722" i="1"/>
  <c r="I658" i="1"/>
  <c r="I938" i="1"/>
  <c r="I901" i="1"/>
  <c r="I817" i="1"/>
  <c r="I798" i="1"/>
  <c r="I716" i="1"/>
  <c r="I707" i="1"/>
  <c r="I693" i="1"/>
  <c r="I683" i="1"/>
  <c r="I660" i="1"/>
  <c r="I994" i="1"/>
  <c r="I852" i="1"/>
  <c r="I847" i="1"/>
  <c r="I834" i="1"/>
  <c r="I713" i="1"/>
  <c r="I690" i="1"/>
  <c r="I685" i="1"/>
  <c r="I765" i="1"/>
  <c r="I760" i="1"/>
  <c r="I718" i="1"/>
  <c r="I644" i="1"/>
  <c r="I634" i="1"/>
  <c r="I617" i="1"/>
  <c r="I592" i="1"/>
  <c r="I573" i="1"/>
  <c r="I547" i="1"/>
  <c r="I534" i="1"/>
  <c r="I508" i="1"/>
  <c r="I816" i="1"/>
  <c r="I800" i="1"/>
  <c r="I795" i="1"/>
  <c r="I789" i="1"/>
  <c r="I654" i="1"/>
  <c r="I646" i="1"/>
  <c r="I636" i="1"/>
  <c r="I740" i="1"/>
  <c r="I735" i="1"/>
  <c r="I730" i="1"/>
  <c r="I641" i="1"/>
  <c r="I629" i="1"/>
  <c r="I621" i="1"/>
  <c r="I611" i="1"/>
  <c r="I586" i="1"/>
  <c r="I550" i="1"/>
  <c r="I537" i="1"/>
  <c r="I885" i="1"/>
  <c r="I840" i="1"/>
  <c r="I833" i="1"/>
  <c r="I810" i="1"/>
  <c r="I799" i="1"/>
  <c r="I709" i="1"/>
  <c r="I676" i="1"/>
  <c r="I672" i="1"/>
  <c r="I643" i="1"/>
  <c r="I627" i="1"/>
  <c r="I607" i="1"/>
  <c r="I582" i="1"/>
  <c r="I558" i="1"/>
  <c r="I545" i="1"/>
  <c r="I519" i="1"/>
  <c r="I503" i="1"/>
  <c r="I500" i="1"/>
  <c r="I497" i="1"/>
  <c r="I494" i="1"/>
  <c r="I491" i="1"/>
  <c r="I484" i="1"/>
  <c r="I477" i="1"/>
  <c r="I827" i="1"/>
  <c r="I778" i="1"/>
  <c r="I686" i="1"/>
  <c r="I682" i="1"/>
  <c r="I603" i="1"/>
  <c r="I578" i="1"/>
  <c r="I540" i="1"/>
  <c r="I506" i="1"/>
  <c r="I908" i="1"/>
  <c r="I860" i="1"/>
  <c r="I782" i="1"/>
  <c r="I753" i="1"/>
  <c r="I712" i="1"/>
  <c r="I689" i="1"/>
  <c r="I893" i="1"/>
  <c r="I856" i="1"/>
  <c r="I757" i="1"/>
  <c r="I720" i="1"/>
  <c r="I678" i="1"/>
  <c r="I674" i="1"/>
  <c r="I785" i="1"/>
  <c r="I756" i="1"/>
  <c r="I648" i="1"/>
  <c r="I583" i="1"/>
  <c r="I580" i="1"/>
  <c r="I557" i="1"/>
  <c r="I523" i="1"/>
  <c r="I507" i="1"/>
  <c r="I505" i="1"/>
  <c r="I482" i="1"/>
  <c r="I900" i="1"/>
  <c r="I841" i="1"/>
  <c r="I667" i="1"/>
  <c r="I637" i="1"/>
  <c r="I626" i="1"/>
  <c r="I543" i="1"/>
  <c r="I541" i="1"/>
  <c r="I516" i="1"/>
  <c r="I509" i="1"/>
  <c r="I489" i="1"/>
  <c r="I460" i="1"/>
  <c r="I457" i="1"/>
  <c r="I454" i="1"/>
  <c r="I447" i="1"/>
  <c r="I440" i="1"/>
  <c r="I433" i="1"/>
  <c r="I426" i="1"/>
  <c r="I419" i="1"/>
  <c r="I412" i="1"/>
  <c r="I405" i="1"/>
  <c r="I398" i="1"/>
  <c r="I391" i="1"/>
  <c r="I384" i="1"/>
  <c r="I377" i="1"/>
  <c r="I895" i="1"/>
  <c r="I838" i="1"/>
  <c r="I793" i="1"/>
  <c r="I679" i="1"/>
  <c r="I620" i="1"/>
  <c r="I604" i="1"/>
  <c r="I596" i="1"/>
  <c r="I593" i="1"/>
  <c r="I585" i="1"/>
  <c r="I561" i="1"/>
  <c r="I559" i="1"/>
  <c r="I480" i="1"/>
  <c r="I475" i="1"/>
  <c r="I472" i="1"/>
  <c r="I469" i="1"/>
  <c r="I466" i="1"/>
  <c r="I463" i="1"/>
  <c r="I803" i="1"/>
  <c r="I763" i="1"/>
  <c r="I623" i="1"/>
  <c r="I601" i="1"/>
  <c r="I569" i="1"/>
  <c r="I487" i="1"/>
  <c r="I478" i="1"/>
  <c r="I451" i="1"/>
  <c r="I444" i="1"/>
  <c r="I437" i="1"/>
  <c r="I430" i="1"/>
  <c r="I423" i="1"/>
  <c r="I416" i="1"/>
  <c r="I409" i="1"/>
  <c r="I402" i="1"/>
  <c r="I395" i="1"/>
  <c r="I388" i="1"/>
  <c r="I381" i="1"/>
  <c r="I374" i="1"/>
  <c r="I367" i="1"/>
  <c r="I360" i="1"/>
  <c r="I353" i="1"/>
  <c r="I346" i="1"/>
  <c r="I339" i="1"/>
  <c r="I332" i="1"/>
  <c r="I325" i="1"/>
  <c r="I318" i="1"/>
  <c r="I311" i="1"/>
  <c r="I304" i="1"/>
  <c r="I297" i="1"/>
  <c r="I290" i="1"/>
  <c r="I283" i="1"/>
  <c r="I771" i="1"/>
  <c r="I566" i="1"/>
  <c r="I554" i="1"/>
  <c r="I552" i="1"/>
  <c r="I522" i="1"/>
  <c r="I520" i="1"/>
  <c r="I498" i="1"/>
  <c r="I485" i="1"/>
  <c r="I791" i="1"/>
  <c r="I751" i="1"/>
  <c r="I742" i="1"/>
  <c r="I942" i="1"/>
  <c r="I849" i="1"/>
  <c r="I610" i="1"/>
  <c r="I597" i="1"/>
  <c r="I576" i="1"/>
  <c r="I564" i="1"/>
  <c r="I486" i="1"/>
  <c r="I483" i="1"/>
  <c r="I415" i="1"/>
  <c r="I404" i="1"/>
  <c r="I393" i="1"/>
  <c r="I382" i="1"/>
  <c r="I356" i="1"/>
  <c r="I307" i="1"/>
  <c r="I259" i="1"/>
  <c r="I256" i="1"/>
  <c r="I253" i="1"/>
  <c r="I250" i="1"/>
  <c r="I247" i="1"/>
  <c r="I244" i="1"/>
  <c r="I241" i="1"/>
  <c r="I824" i="1"/>
  <c r="I807" i="1"/>
  <c r="I737" i="1"/>
  <c r="I664" i="1"/>
  <c r="I618" i="1"/>
  <c r="I572" i="1"/>
  <c r="I556" i="1"/>
  <c r="I535" i="1"/>
  <c r="I514" i="1"/>
  <c r="I468" i="1"/>
  <c r="I445" i="1"/>
  <c r="I434" i="1"/>
  <c r="I935" i="1"/>
  <c r="I549" i="1"/>
  <c r="I542" i="1"/>
  <c r="I538" i="1"/>
  <c r="I528" i="1"/>
  <c r="I517" i="1"/>
  <c r="I488" i="1"/>
  <c r="I470" i="1"/>
  <c r="I443" i="1"/>
  <c r="I432" i="1"/>
  <c r="I421" i="1"/>
  <c r="I410" i="1"/>
  <c r="I399" i="1"/>
  <c r="I342" i="1"/>
  <c r="I293" i="1"/>
  <c r="I823" i="1"/>
  <c r="I732" i="1"/>
  <c r="I671" i="1"/>
  <c r="I571" i="1"/>
  <c r="I531" i="1"/>
  <c r="I510" i="1"/>
  <c r="I458" i="1"/>
  <c r="I456" i="1"/>
  <c r="I408" i="1"/>
  <c r="I397" i="1"/>
  <c r="I386" i="1"/>
  <c r="I375" i="1"/>
  <c r="I371" i="1"/>
  <c r="I338" i="1"/>
  <c r="I334" i="1"/>
  <c r="I330" i="1"/>
  <c r="I326" i="1"/>
  <c r="I322" i="1"/>
  <c r="I289" i="1"/>
  <c r="I285" i="1"/>
  <c r="I988" i="1"/>
  <c r="I878" i="1"/>
  <c r="I767" i="1"/>
  <c r="I579" i="1"/>
  <c r="I513" i="1"/>
  <c r="I449" i="1"/>
  <c r="I438" i="1"/>
  <c r="I427" i="1"/>
  <c r="I328" i="1"/>
  <c r="I245" i="1"/>
  <c r="I242" i="1"/>
  <c r="I239" i="1"/>
  <c r="I236" i="1"/>
  <c r="I222" i="1"/>
  <c r="I215" i="1"/>
  <c r="I203" i="1"/>
  <c r="I196" i="1"/>
  <c r="I189" i="1"/>
  <c r="I182" i="1"/>
  <c r="I175" i="1"/>
  <c r="I715" i="1"/>
  <c r="I681" i="1"/>
  <c r="I662" i="1"/>
  <c r="I642" i="1"/>
  <c r="I587" i="1"/>
  <c r="I575" i="1"/>
  <c r="I548" i="1"/>
  <c r="I635" i="1"/>
  <c r="I479" i="1"/>
  <c r="I471" i="1"/>
  <c r="I459" i="1"/>
  <c r="I431" i="1"/>
  <c r="I428" i="1"/>
  <c r="I424" i="1"/>
  <c r="I407" i="1"/>
  <c r="I390" i="1"/>
  <c r="I358" i="1"/>
  <c r="I355" i="1"/>
  <c r="I333" i="1"/>
  <c r="I317" i="1"/>
  <c r="I308" i="1"/>
  <c r="I292" i="1"/>
  <c r="I260" i="1"/>
  <c r="I157" i="1"/>
  <c r="I150" i="1"/>
  <c r="I143" i="1"/>
  <c r="I136" i="1"/>
  <c r="I130" i="1"/>
  <c r="I123" i="1"/>
  <c r="I116" i="1"/>
  <c r="I109" i="1"/>
  <c r="I102" i="1"/>
  <c r="I95" i="1"/>
  <c r="I88" i="1"/>
  <c r="I81" i="1"/>
  <c r="I74" i="1"/>
  <c r="I67" i="1"/>
  <c r="I60" i="1"/>
  <c r="I53" i="1"/>
  <c r="I46" i="1"/>
  <c r="I39" i="1"/>
  <c r="I32" i="1"/>
  <c r="I25" i="1"/>
  <c r="I529" i="1"/>
  <c r="I499" i="1"/>
  <c r="I435" i="1"/>
  <c r="I420" i="1"/>
  <c r="I403" i="1"/>
  <c r="I387" i="1"/>
  <c r="I363" i="1"/>
  <c r="I344" i="1"/>
  <c r="I303" i="1"/>
  <c r="I300" i="1"/>
  <c r="I277" i="1"/>
  <c r="I258" i="1"/>
  <c r="I233" i="1"/>
  <c r="I219" i="1"/>
  <c r="I216" i="1"/>
  <c r="I213" i="1"/>
  <c r="I210" i="1"/>
  <c r="I179" i="1"/>
  <c r="I176" i="1"/>
  <c r="I173" i="1"/>
  <c r="I170" i="1"/>
  <c r="I589" i="1"/>
  <c r="I504" i="1"/>
  <c r="I474" i="1"/>
  <c r="I462" i="1"/>
  <c r="I442" i="1"/>
  <c r="I439" i="1"/>
  <c r="I417" i="1"/>
  <c r="I400" i="1"/>
  <c r="I383" i="1"/>
  <c r="I366" i="1"/>
  <c r="I357" i="1"/>
  <c r="I341" i="1"/>
  <c r="I319" i="1"/>
  <c r="I316" i="1"/>
  <c r="I294" i="1"/>
  <c r="I281" i="1"/>
  <c r="I279" i="1"/>
  <c r="I266" i="1"/>
  <c r="I243" i="1"/>
  <c r="I237" i="1"/>
  <c r="I225" i="1"/>
  <c r="I200" i="1"/>
  <c r="I197" i="1"/>
  <c r="I194" i="1"/>
  <c r="I191" i="1"/>
  <c r="I188" i="1"/>
  <c r="I185" i="1"/>
  <c r="I167" i="1"/>
  <c r="I161" i="1"/>
  <c r="I154" i="1"/>
  <c r="I147" i="1"/>
  <c r="I140" i="1"/>
  <c r="I127" i="1"/>
  <c r="I120" i="1"/>
  <c r="I113" i="1"/>
  <c r="I106" i="1"/>
  <c r="I99" i="1"/>
  <c r="I92" i="1"/>
  <c r="I85" i="1"/>
  <c r="I78" i="1"/>
  <c r="I71" i="1"/>
  <c r="I64" i="1"/>
  <c r="I57" i="1"/>
  <c r="I50" i="1"/>
  <c r="I43" i="1"/>
  <c r="I36" i="1"/>
  <c r="I29" i="1"/>
  <c r="I22" i="1"/>
  <c r="I493" i="1"/>
  <c r="I446" i="1"/>
  <c r="I413" i="1"/>
  <c r="I396" i="1"/>
  <c r="I380" i="1"/>
  <c r="I352" i="1"/>
  <c r="I349" i="1"/>
  <c r="I286" i="1"/>
  <c r="I264" i="1"/>
  <c r="I262" i="1"/>
  <c r="I228" i="1"/>
  <c r="I206" i="1"/>
  <c r="I963" i="1"/>
  <c r="I831" i="1"/>
  <c r="I453" i="1"/>
  <c r="I450" i="1"/>
  <c r="I392" i="1"/>
  <c r="I368" i="1"/>
  <c r="I365" i="1"/>
  <c r="I343" i="1"/>
  <c r="I327" i="1"/>
  <c r="I324" i="1"/>
  <c r="I305" i="1"/>
  <c r="I302" i="1"/>
  <c r="I251" i="1"/>
  <c r="I249" i="1"/>
  <c r="I158" i="1"/>
  <c r="I151" i="1"/>
  <c r="I144" i="1"/>
  <c r="I137" i="1"/>
  <c r="I124" i="1"/>
  <c r="I117" i="1"/>
  <c r="I110" i="1"/>
  <c r="I103" i="1"/>
  <c r="I96" i="1"/>
  <c r="I89" i="1"/>
  <c r="I82" i="1"/>
  <c r="I75" i="1"/>
  <c r="I68" i="1"/>
  <c r="I61" i="1"/>
  <c r="I54" i="1"/>
  <c r="I47" i="1"/>
  <c r="I40" i="1"/>
  <c r="I33" i="1"/>
  <c r="I26" i="1"/>
  <c r="I19" i="1"/>
  <c r="I515" i="1"/>
  <c r="I492" i="1"/>
  <c r="I465" i="1"/>
  <c r="I406" i="1"/>
  <c r="I389" i="1"/>
  <c r="I379" i="1"/>
  <c r="I624" i="1"/>
  <c r="I608" i="1"/>
  <c r="I551" i="1"/>
  <c r="I502" i="1"/>
  <c r="I461" i="1"/>
  <c r="I385" i="1"/>
  <c r="I373" i="1"/>
  <c r="I354" i="1"/>
  <c r="I351" i="1"/>
  <c r="I946" i="1"/>
  <c r="I20" i="1"/>
  <c r="I31" i="1"/>
  <c r="I42" i="1"/>
  <c r="I107" i="1"/>
  <c r="I118" i="1"/>
  <c r="I129" i="1"/>
  <c r="I181" i="1"/>
  <c r="I183" i="1"/>
  <c r="I224" i="1"/>
  <c r="I226" i="1"/>
  <c r="I231" i="1"/>
  <c r="I240" i="1"/>
  <c r="I309" i="1"/>
  <c r="I414" i="1"/>
  <c r="J1003" i="1"/>
  <c r="J996" i="1"/>
  <c r="J989" i="1"/>
  <c r="J982" i="1"/>
  <c r="J975" i="1"/>
  <c r="J968" i="1"/>
  <c r="J961" i="1"/>
  <c r="J954" i="1"/>
  <c r="J947" i="1"/>
  <c r="J940" i="1"/>
  <c r="J933" i="1"/>
  <c r="J926" i="1"/>
  <c r="J919" i="1"/>
  <c r="J912" i="1"/>
  <c r="J905" i="1"/>
  <c r="J1000" i="1"/>
  <c r="M1000" i="1" s="1"/>
  <c r="Y1000" i="1" s="1"/>
  <c r="J993" i="1"/>
  <c r="J986" i="1"/>
  <c r="J979" i="1"/>
  <c r="J972" i="1"/>
  <c r="J965" i="1"/>
  <c r="J958" i="1"/>
  <c r="J951" i="1"/>
  <c r="J944" i="1"/>
  <c r="J937" i="1"/>
  <c r="J930" i="1"/>
  <c r="J923" i="1"/>
  <c r="J916" i="1"/>
  <c r="J909" i="1"/>
  <c r="J902" i="1"/>
  <c r="M902" i="1" s="1"/>
  <c r="Y902" i="1" s="1"/>
  <c r="J1004" i="1"/>
  <c r="J997" i="1"/>
  <c r="J990" i="1"/>
  <c r="J983" i="1"/>
  <c r="J976" i="1"/>
  <c r="J969" i="1"/>
  <c r="J962" i="1"/>
  <c r="J955" i="1"/>
  <c r="J948" i="1"/>
  <c r="J941" i="1"/>
  <c r="J934" i="1"/>
  <c r="J978" i="1"/>
  <c r="J967" i="1"/>
  <c r="J956" i="1"/>
  <c r="J945" i="1"/>
  <c r="J928" i="1"/>
  <c r="J924" i="1"/>
  <c r="J920" i="1"/>
  <c r="J897" i="1"/>
  <c r="J890" i="1"/>
  <c r="J883" i="1"/>
  <c r="M883" i="1" s="1"/>
  <c r="Y883" i="1" s="1"/>
  <c r="J876" i="1"/>
  <c r="J869" i="1"/>
  <c r="J862" i="1"/>
  <c r="J943" i="1"/>
  <c r="J932" i="1"/>
  <c r="J1006" i="1"/>
  <c r="J995" i="1"/>
  <c r="J984" i="1"/>
  <c r="J973" i="1"/>
  <c r="J922" i="1"/>
  <c r="M922" i="1" s="1"/>
  <c r="Y922" i="1" s="1"/>
  <c r="J918" i="1"/>
  <c r="J914" i="1"/>
  <c r="J910" i="1"/>
  <c r="J906" i="1"/>
  <c r="J894" i="1"/>
  <c r="J887" i="1"/>
  <c r="J880" i="1"/>
  <c r="J873" i="1"/>
  <c r="J866" i="1"/>
  <c r="J859" i="1"/>
  <c r="J971" i="1"/>
  <c r="J960" i="1"/>
  <c r="J949" i="1"/>
  <c r="J938" i="1"/>
  <c r="M938" i="1" s="1"/>
  <c r="Y938" i="1" s="1"/>
  <c r="J1002" i="1"/>
  <c r="J977" i="1"/>
  <c r="J1001" i="1"/>
  <c r="J950" i="1"/>
  <c r="J931" i="1"/>
  <c r="M931" i="1" s="1"/>
  <c r="Y931" i="1" s="1"/>
  <c r="J915" i="1"/>
  <c r="J865" i="1"/>
  <c r="J861" i="1"/>
  <c r="J857" i="1"/>
  <c r="J850" i="1"/>
  <c r="J843" i="1"/>
  <c r="J836" i="1"/>
  <c r="J829" i="1"/>
  <c r="J822" i="1"/>
  <c r="J815" i="1"/>
  <c r="J808" i="1"/>
  <c r="J801" i="1"/>
  <c r="J794" i="1"/>
  <c r="M794" i="1" s="1"/>
  <c r="Y794" i="1" s="1"/>
  <c r="J787" i="1"/>
  <c r="J780" i="1"/>
  <c r="M780" i="1" s="1"/>
  <c r="Y780" i="1" s="1"/>
  <c r="J773" i="1"/>
  <c r="J766" i="1"/>
  <c r="J759" i="1"/>
  <c r="J752" i="1"/>
  <c r="J745" i="1"/>
  <c r="J738" i="1"/>
  <c r="J731" i="1"/>
  <c r="J980" i="1"/>
  <c r="J974" i="1"/>
  <c r="J998" i="1"/>
  <c r="J992" i="1"/>
  <c r="J1005" i="1"/>
  <c r="J966" i="1"/>
  <c r="J921" i="1"/>
  <c r="J917" i="1"/>
  <c r="J884" i="1"/>
  <c r="J872" i="1"/>
  <c r="J867" i="1"/>
  <c r="J970" i="1"/>
  <c r="J936" i="1"/>
  <c r="M936" i="1" s="1"/>
  <c r="Y936" i="1" s="1"/>
  <c r="J907" i="1"/>
  <c r="J903" i="1"/>
  <c r="J874" i="1"/>
  <c r="J864" i="1"/>
  <c r="J987" i="1"/>
  <c r="J953" i="1"/>
  <c r="M953" i="1" s="1"/>
  <c r="Y953" i="1" s="1"/>
  <c r="J927" i="1"/>
  <c r="M927" i="1" s="1"/>
  <c r="Y927" i="1" s="1"/>
  <c r="J913" i="1"/>
  <c r="M913" i="1" s="1"/>
  <c r="Y913" i="1" s="1"/>
  <c r="J889" i="1"/>
  <c r="M889" i="1" s="1"/>
  <c r="Y889" i="1" s="1"/>
  <c r="J846" i="1"/>
  <c r="J844" i="1"/>
  <c r="J821" i="1"/>
  <c r="J819" i="1"/>
  <c r="J991" i="1"/>
  <c r="J957" i="1"/>
  <c r="J952" i="1"/>
  <c r="J899" i="1"/>
  <c r="M899" i="1" s="1"/>
  <c r="Y899" i="1" s="1"/>
  <c r="J896" i="1"/>
  <c r="J891" i="1"/>
  <c r="J879" i="1"/>
  <c r="J853" i="1"/>
  <c r="J851" i="1"/>
  <c r="J828" i="1"/>
  <c r="J826" i="1"/>
  <c r="J803" i="1"/>
  <c r="J886" i="1"/>
  <c r="J881" i="1"/>
  <c r="J835" i="1"/>
  <c r="J833" i="1"/>
  <c r="J868" i="1"/>
  <c r="M868" i="1" s="1"/>
  <c r="Y868" i="1" s="1"/>
  <c r="J788" i="1"/>
  <c r="J779" i="1"/>
  <c r="J777" i="1"/>
  <c r="J754" i="1"/>
  <c r="J898" i="1"/>
  <c r="J877" i="1"/>
  <c r="J809" i="1"/>
  <c r="J790" i="1"/>
  <c r="J784" i="1"/>
  <c r="J761" i="1"/>
  <c r="J736" i="1"/>
  <c r="J698" i="1"/>
  <c r="J691" i="1"/>
  <c r="J684" i="1"/>
  <c r="J677" i="1"/>
  <c r="J670" i="1"/>
  <c r="J663" i="1"/>
  <c r="J656" i="1"/>
  <c r="J649" i="1"/>
  <c r="J642" i="1"/>
  <c r="J635" i="1"/>
  <c r="J911" i="1"/>
  <c r="J863" i="1"/>
  <c r="J813" i="1"/>
  <c r="J805" i="1"/>
  <c r="J786" i="1"/>
  <c r="J768" i="1"/>
  <c r="J743" i="1"/>
  <c r="J714" i="1"/>
  <c r="J711" i="1"/>
  <c r="J708" i="1"/>
  <c r="J705" i="1"/>
  <c r="J981" i="1"/>
  <c r="J959" i="1"/>
  <c r="J885" i="1"/>
  <c r="J837" i="1"/>
  <c r="J817" i="1"/>
  <c r="J811" i="1"/>
  <c r="J807" i="1"/>
  <c r="M807" i="1" s="1"/>
  <c r="Y807" i="1" s="1"/>
  <c r="J775" i="1"/>
  <c r="M775" i="1" s="1"/>
  <c r="Y775" i="1" s="1"/>
  <c r="J750" i="1"/>
  <c r="J729" i="1"/>
  <c r="M729" i="1" s="1"/>
  <c r="Y729" i="1" s="1"/>
  <c r="J726" i="1"/>
  <c r="J723" i="1"/>
  <c r="J720" i="1"/>
  <c r="J717" i="1"/>
  <c r="J702" i="1"/>
  <c r="J695" i="1"/>
  <c r="J688" i="1"/>
  <c r="J681" i="1"/>
  <c r="J674" i="1"/>
  <c r="J667" i="1"/>
  <c r="J660" i="1"/>
  <c r="M660" i="1" s="1"/>
  <c r="Y660" i="1" s="1"/>
  <c r="J653" i="1"/>
  <c r="M653" i="1" s="1"/>
  <c r="Y653" i="1" s="1"/>
  <c r="J646" i="1"/>
  <c r="J639" i="1"/>
  <c r="J632" i="1"/>
  <c r="J625" i="1"/>
  <c r="J618" i="1"/>
  <c r="J888" i="1"/>
  <c r="J854" i="1"/>
  <c r="J774" i="1"/>
  <c r="J749" i="1"/>
  <c r="J734" i="1"/>
  <c r="J719" i="1"/>
  <c r="J640" i="1"/>
  <c r="J622" i="1"/>
  <c r="J619" i="1"/>
  <c r="J939" i="1"/>
  <c r="J929" i="1"/>
  <c r="J870" i="1"/>
  <c r="J858" i="1"/>
  <c r="J832" i="1"/>
  <c r="J814" i="1"/>
  <c r="J792" i="1"/>
  <c r="J769" i="1"/>
  <c r="J744" i="1"/>
  <c r="J706" i="1"/>
  <c r="J704" i="1"/>
  <c r="J700" i="1"/>
  <c r="J696" i="1"/>
  <c r="J692" i="1"/>
  <c r="J659" i="1"/>
  <c r="J655" i="1"/>
  <c r="M655" i="1" s="1"/>
  <c r="Y655" i="1" s="1"/>
  <c r="J651" i="1"/>
  <c r="J647" i="1"/>
  <c r="J628" i="1"/>
  <c r="J616" i="1"/>
  <c r="J609" i="1"/>
  <c r="J602" i="1"/>
  <c r="J595" i="1"/>
  <c r="J588" i="1"/>
  <c r="J581" i="1"/>
  <c r="J574" i="1"/>
  <c r="J567" i="1"/>
  <c r="J895" i="1"/>
  <c r="J841" i="1"/>
  <c r="J838" i="1"/>
  <c r="J800" i="1"/>
  <c r="J797" i="1"/>
  <c r="M797" i="1" s="1"/>
  <c r="Y797" i="1" s="1"/>
  <c r="J789" i="1"/>
  <c r="J771" i="1"/>
  <c r="J746" i="1"/>
  <c r="J727" i="1"/>
  <c r="J725" i="1"/>
  <c r="J631" i="1"/>
  <c r="J994" i="1"/>
  <c r="J892" i="1"/>
  <c r="J856" i="1"/>
  <c r="J830" i="1"/>
  <c r="J827" i="1"/>
  <c r="J824" i="1"/>
  <c r="J785" i="1"/>
  <c r="J760" i="1"/>
  <c r="J735" i="1"/>
  <c r="J724" i="1"/>
  <c r="J722" i="1"/>
  <c r="J985" i="1"/>
  <c r="J818" i="1"/>
  <c r="J741" i="1"/>
  <c r="J728" i="1"/>
  <c r="J658" i="1"/>
  <c r="J630" i="1"/>
  <c r="J626" i="1"/>
  <c r="M626" i="1" s="1"/>
  <c r="Y626" i="1" s="1"/>
  <c r="J597" i="1"/>
  <c r="J572" i="1"/>
  <c r="J557" i="1"/>
  <c r="M557" i="1" s="1"/>
  <c r="Y557" i="1" s="1"/>
  <c r="J554" i="1"/>
  <c r="J551" i="1"/>
  <c r="J548" i="1"/>
  <c r="J545" i="1"/>
  <c r="J542" i="1"/>
  <c r="J539" i="1"/>
  <c r="J503" i="1"/>
  <c r="J496" i="1"/>
  <c r="J901" i="1"/>
  <c r="J875" i="1"/>
  <c r="J848" i="1"/>
  <c r="J798" i="1"/>
  <c r="J776" i="1"/>
  <c r="J755" i="1"/>
  <c r="J748" i="1"/>
  <c r="J716" i="1"/>
  <c r="J710" i="1"/>
  <c r="J707" i="1"/>
  <c r="J693" i="1"/>
  <c r="J683" i="1"/>
  <c r="M683" i="1" s="1"/>
  <c r="Y683" i="1" s="1"/>
  <c r="J925" i="1"/>
  <c r="J852" i="1"/>
  <c r="J847" i="1"/>
  <c r="J839" i="1"/>
  <c r="J834" i="1"/>
  <c r="J783" i="1"/>
  <c r="J762" i="1"/>
  <c r="J713" i="1"/>
  <c r="J690" i="1"/>
  <c r="M690" i="1" s="1"/>
  <c r="Y690" i="1" s="1"/>
  <c r="J685" i="1"/>
  <c r="J673" i="1"/>
  <c r="J935" i="1"/>
  <c r="J900" i="1"/>
  <c r="J825" i="1"/>
  <c r="J751" i="1"/>
  <c r="J701" i="1"/>
  <c r="J680" i="1"/>
  <c r="J675" i="1"/>
  <c r="J816" i="1"/>
  <c r="J806" i="1"/>
  <c r="J795" i="1"/>
  <c r="J770" i="1"/>
  <c r="M770" i="1" s="1"/>
  <c r="Y770" i="1" s="1"/>
  <c r="J687" i="1"/>
  <c r="J654" i="1"/>
  <c r="J636" i="1"/>
  <c r="J623" i="1"/>
  <c r="J613" i="1"/>
  <c r="J594" i="1"/>
  <c r="J569" i="1"/>
  <c r="J555" i="1"/>
  <c r="J529" i="1"/>
  <c r="J521" i="1"/>
  <c r="J516" i="1"/>
  <c r="J487" i="1"/>
  <c r="J480" i="1"/>
  <c r="J740" i="1"/>
  <c r="J730" i="1"/>
  <c r="J694" i="1"/>
  <c r="J641" i="1"/>
  <c r="J629" i="1"/>
  <c r="J840" i="1"/>
  <c r="J810" i="1"/>
  <c r="J799" i="1"/>
  <c r="J764" i="1"/>
  <c r="J709" i="1"/>
  <c r="J676" i="1"/>
  <c r="J672" i="1"/>
  <c r="J643" i="1"/>
  <c r="J627" i="1"/>
  <c r="J607" i="1"/>
  <c r="J582" i="1"/>
  <c r="J563" i="1"/>
  <c r="J558" i="1"/>
  <c r="J524" i="1"/>
  <c r="J519" i="1"/>
  <c r="J511" i="1"/>
  <c r="J500" i="1"/>
  <c r="J871" i="1"/>
  <c r="J778" i="1"/>
  <c r="J686" i="1"/>
  <c r="J682" i="1"/>
  <c r="J666" i="1"/>
  <c r="J603" i="1"/>
  <c r="J584" i="1"/>
  <c r="J578" i="1"/>
  <c r="J540" i="1"/>
  <c r="J532" i="1"/>
  <c r="J506" i="1"/>
  <c r="J988" i="1"/>
  <c r="J804" i="1"/>
  <c r="J793" i="1"/>
  <c r="J739" i="1"/>
  <c r="J721" i="1"/>
  <c r="J697" i="1"/>
  <c r="J679" i="1"/>
  <c r="J669" i="1"/>
  <c r="J648" i="1"/>
  <c r="J638" i="1"/>
  <c r="J605" i="1"/>
  <c r="J599" i="1"/>
  <c r="J580" i="1"/>
  <c r="J561" i="1"/>
  <c r="J553" i="1"/>
  <c r="J527" i="1"/>
  <c r="J522" i="1"/>
  <c r="J514" i="1"/>
  <c r="J488" i="1"/>
  <c r="J481" i="1"/>
  <c r="J474" i="1"/>
  <c r="J467" i="1"/>
  <c r="J460" i="1"/>
  <c r="M460" i="1" s="1"/>
  <c r="Y460" i="1" s="1"/>
  <c r="J946" i="1"/>
  <c r="J845" i="1"/>
  <c r="M845" i="1" s="1"/>
  <c r="Y845" i="1" s="1"/>
  <c r="J820" i="1"/>
  <c r="J763" i="1"/>
  <c r="J942" i="1"/>
  <c r="J772" i="1"/>
  <c r="J767" i="1"/>
  <c r="J671" i="1"/>
  <c r="J842" i="1"/>
  <c r="J796" i="1"/>
  <c r="J657" i="1"/>
  <c r="J637" i="1"/>
  <c r="J543" i="1"/>
  <c r="J541" i="1"/>
  <c r="M541" i="1" s="1"/>
  <c r="Y541" i="1" s="1"/>
  <c r="J525" i="1"/>
  <c r="J509" i="1"/>
  <c r="J489" i="1"/>
  <c r="J457" i="1"/>
  <c r="J454" i="1"/>
  <c r="J447" i="1"/>
  <c r="J440" i="1"/>
  <c r="J433" i="1"/>
  <c r="J426" i="1"/>
  <c r="J419" i="1"/>
  <c r="J412" i="1"/>
  <c r="J405" i="1"/>
  <c r="M405" i="1" s="1"/>
  <c r="Y405" i="1" s="1"/>
  <c r="J398" i="1"/>
  <c r="J391" i="1"/>
  <c r="J384" i="1"/>
  <c r="J377" i="1"/>
  <c r="J370" i="1"/>
  <c r="J363" i="1"/>
  <c r="J356" i="1"/>
  <c r="J349" i="1"/>
  <c r="J342" i="1"/>
  <c r="J335" i="1"/>
  <c r="J328" i="1"/>
  <c r="J321" i="1"/>
  <c r="J314" i="1"/>
  <c r="J307" i="1"/>
  <c r="J300" i="1"/>
  <c r="J293" i="1"/>
  <c r="J286" i="1"/>
  <c r="J765" i="1"/>
  <c r="J718" i="1"/>
  <c r="J620" i="1"/>
  <c r="J615" i="1"/>
  <c r="J604" i="1"/>
  <c r="J596" i="1"/>
  <c r="J593" i="1"/>
  <c r="J585" i="1"/>
  <c r="J559" i="1"/>
  <c r="J550" i="1"/>
  <c r="J475" i="1"/>
  <c r="J472" i="1"/>
  <c r="J469" i="1"/>
  <c r="J466" i="1"/>
  <c r="J463" i="1"/>
  <c r="J964" i="1"/>
  <c r="J782" i="1"/>
  <c r="J753" i="1"/>
  <c r="M753" i="1" s="1"/>
  <c r="Y753" i="1" s="1"/>
  <c r="J612" i="1"/>
  <c r="J601" i="1"/>
  <c r="J534" i="1"/>
  <c r="J478" i="1"/>
  <c r="J451" i="1"/>
  <c r="J444" i="1"/>
  <c r="J437" i="1"/>
  <c r="J430" i="1"/>
  <c r="J423" i="1"/>
  <c r="M423" i="1" s="1"/>
  <c r="Y423" i="1" s="1"/>
  <c r="J416" i="1"/>
  <c r="J409" i="1"/>
  <c r="J402" i="1"/>
  <c r="J395" i="1"/>
  <c r="J388" i="1"/>
  <c r="J381" i="1"/>
  <c r="J374" i="1"/>
  <c r="J367" i="1"/>
  <c r="J360" i="1"/>
  <c r="J353" i="1"/>
  <c r="J346" i="1"/>
  <c r="J339" i="1"/>
  <c r="J332" i="1"/>
  <c r="J325" i="1"/>
  <c r="J318" i="1"/>
  <c r="J311" i="1"/>
  <c r="J304" i="1"/>
  <c r="J297" i="1"/>
  <c r="J290" i="1"/>
  <c r="M290" i="1" s="1"/>
  <c r="Y290" i="1" s="1"/>
  <c r="J893" i="1"/>
  <c r="J733" i="1"/>
  <c r="J678" i="1"/>
  <c r="J661" i="1"/>
  <c r="J652" i="1"/>
  <c r="J644" i="1"/>
  <c r="J577" i="1"/>
  <c r="J566" i="1"/>
  <c r="J552" i="1"/>
  <c r="M552" i="1" s="1"/>
  <c r="Y552" i="1" s="1"/>
  <c r="J536" i="1"/>
  <c r="J520" i="1"/>
  <c r="J518" i="1"/>
  <c r="J498" i="1"/>
  <c r="J485" i="1"/>
  <c r="J963" i="1"/>
  <c r="J781" i="1"/>
  <c r="J732" i="1"/>
  <c r="J617" i="1"/>
  <c r="J614" i="1"/>
  <c r="J606" i="1"/>
  <c r="J538" i="1"/>
  <c r="J504" i="1"/>
  <c r="J448" i="1"/>
  <c r="J441" i="1"/>
  <c r="J434" i="1"/>
  <c r="M434" i="1" s="1"/>
  <c r="Y434" i="1" s="1"/>
  <c r="J427" i="1"/>
  <c r="J420" i="1"/>
  <c r="J413" i="1"/>
  <c r="J406" i="1"/>
  <c r="J399" i="1"/>
  <c r="J392" i="1"/>
  <c r="J385" i="1"/>
  <c r="J378" i="1"/>
  <c r="J371" i="1"/>
  <c r="J364" i="1"/>
  <c r="J357" i="1"/>
  <c r="J350" i="1"/>
  <c r="J343" i="1"/>
  <c r="J336" i="1"/>
  <c r="M336" i="1" s="1"/>
  <c r="Y336" i="1" s="1"/>
  <c r="J329" i="1"/>
  <c r="J322" i="1"/>
  <c r="J315" i="1"/>
  <c r="J308" i="1"/>
  <c r="J301" i="1"/>
  <c r="J294" i="1"/>
  <c r="J287" i="1"/>
  <c r="J280" i="1"/>
  <c r="J273" i="1"/>
  <c r="J266" i="1"/>
  <c r="J259" i="1"/>
  <c r="M259" i="1" s="1"/>
  <c r="Y259" i="1" s="1"/>
  <c r="J252" i="1"/>
  <c r="J245" i="1"/>
  <c r="J238" i="1"/>
  <c r="J233" i="1"/>
  <c r="J849" i="1"/>
  <c r="J882" i="1"/>
  <c r="J756" i="1"/>
  <c r="J737" i="1"/>
  <c r="J664" i="1"/>
  <c r="J556" i="1"/>
  <c r="J546" i="1"/>
  <c r="J535" i="1"/>
  <c r="J494" i="1"/>
  <c r="J468" i="1"/>
  <c r="J445" i="1"/>
  <c r="M445" i="1" s="1"/>
  <c r="Y445" i="1" s="1"/>
  <c r="J380" i="1"/>
  <c r="J352" i="1"/>
  <c r="J348" i="1"/>
  <c r="J344" i="1"/>
  <c r="J340" i="1"/>
  <c r="J303" i="1"/>
  <c r="J299" i="1"/>
  <c r="J295" i="1"/>
  <c r="J291" i="1"/>
  <c r="J277" i="1"/>
  <c r="J274" i="1"/>
  <c r="J271" i="1"/>
  <c r="J268" i="1"/>
  <c r="J265" i="1"/>
  <c r="J262" i="1"/>
  <c r="J560" i="1"/>
  <c r="J549" i="1"/>
  <c r="J528" i="1"/>
  <c r="J517" i="1"/>
  <c r="J507" i="1"/>
  <c r="J470" i="1"/>
  <c r="J443" i="1"/>
  <c r="J432" i="1"/>
  <c r="J421" i="1"/>
  <c r="J410" i="1"/>
  <c r="M410" i="1" s="1"/>
  <c r="Y410" i="1" s="1"/>
  <c r="J999" i="1"/>
  <c r="M999" i="1" s="1"/>
  <c r="Y999" i="1" s="1"/>
  <c r="J823" i="1"/>
  <c r="J571" i="1"/>
  <c r="J531" i="1"/>
  <c r="J510" i="1"/>
  <c r="J497" i="1"/>
  <c r="J458" i="1"/>
  <c r="M458" i="1" s="1"/>
  <c r="Y458" i="1" s="1"/>
  <c r="J456" i="1"/>
  <c r="J408" i="1"/>
  <c r="J397" i="1"/>
  <c r="J386" i="1"/>
  <c r="J375" i="1"/>
  <c r="J338" i="1"/>
  <c r="J334" i="1"/>
  <c r="J330" i="1"/>
  <c r="J326" i="1"/>
  <c r="J289" i="1"/>
  <c r="J285" i="1"/>
  <c r="J878" i="1"/>
  <c r="J802" i="1"/>
  <c r="J592" i="1"/>
  <c r="J579" i="1"/>
  <c r="J513" i="1"/>
  <c r="J491" i="1"/>
  <c r="J449" i="1"/>
  <c r="J438" i="1"/>
  <c r="J242" i="1"/>
  <c r="J239" i="1"/>
  <c r="J600" i="1"/>
  <c r="J477" i="1"/>
  <c r="J465" i="1"/>
  <c r="J436" i="1"/>
  <c r="J425" i="1"/>
  <c r="J414" i="1"/>
  <c r="J403" i="1"/>
  <c r="J373" i="1"/>
  <c r="J369" i="1"/>
  <c r="J365" i="1"/>
  <c r="J361" i="1"/>
  <c r="J324" i="1"/>
  <c r="J320" i="1"/>
  <c r="J316" i="1"/>
  <c r="M316" i="1" s="1"/>
  <c r="Y316" i="1" s="1"/>
  <c r="J312" i="1"/>
  <c r="J283" i="1"/>
  <c r="J263" i="1"/>
  <c r="J260" i="1"/>
  <c r="J257" i="1"/>
  <c r="J254" i="1"/>
  <c r="J251" i="1"/>
  <c r="J248" i="1"/>
  <c r="J908" i="1"/>
  <c r="J703" i="1"/>
  <c r="J608" i="1"/>
  <c r="J502" i="1"/>
  <c r="J490" i="1"/>
  <c r="M490" i="1" s="1"/>
  <c r="Y490" i="1" s="1"/>
  <c r="J482" i="1"/>
  <c r="J479" i="1"/>
  <c r="J455" i="1"/>
  <c r="J453" i="1"/>
  <c r="J442" i="1"/>
  <c r="J431" i="1"/>
  <c r="J712" i="1"/>
  <c r="J611" i="1"/>
  <c r="J499" i="1"/>
  <c r="J435" i="1"/>
  <c r="J404" i="1"/>
  <c r="J387" i="1"/>
  <c r="J258" i="1"/>
  <c r="J256" i="1"/>
  <c r="M256" i="1" s="1"/>
  <c r="Y256" i="1" s="1"/>
  <c r="J219" i="1"/>
  <c r="J216" i="1"/>
  <c r="J213" i="1"/>
  <c r="J210" i="1"/>
  <c r="J179" i="1"/>
  <c r="J176" i="1"/>
  <c r="J173" i="1"/>
  <c r="J170" i="1"/>
  <c r="J71" i="1"/>
  <c r="J64" i="1"/>
  <c r="J50" i="1"/>
  <c r="J689" i="1"/>
  <c r="J589" i="1"/>
  <c r="J523" i="1"/>
  <c r="J505" i="1"/>
  <c r="M505" i="1" s="1"/>
  <c r="Y505" i="1" s="1"/>
  <c r="J484" i="1"/>
  <c r="M484" i="1" s="1"/>
  <c r="Y484" i="1" s="1"/>
  <c r="J462" i="1"/>
  <c r="J439" i="1"/>
  <c r="M439" i="1" s="1"/>
  <c r="Y439" i="1" s="1"/>
  <c r="J417" i="1"/>
  <c r="J400" i="1"/>
  <c r="J383" i="1"/>
  <c r="J366" i="1"/>
  <c r="J341" i="1"/>
  <c r="J319" i="1"/>
  <c r="J281" i="1"/>
  <c r="M281" i="1" s="1"/>
  <c r="Y281" i="1" s="1"/>
  <c r="J279" i="1"/>
  <c r="J243" i="1"/>
  <c r="J237" i="1"/>
  <c r="J225" i="1"/>
  <c r="J222" i="1"/>
  <c r="J200" i="1"/>
  <c r="J197" i="1"/>
  <c r="J194" i="1"/>
  <c r="J191" i="1"/>
  <c r="J188" i="1"/>
  <c r="J185" i="1"/>
  <c r="J182" i="1"/>
  <c r="J167" i="1"/>
  <c r="J161" i="1"/>
  <c r="J154" i="1"/>
  <c r="J147" i="1"/>
  <c r="J140" i="1"/>
  <c r="J127" i="1"/>
  <c r="J120" i="1"/>
  <c r="J113" i="1"/>
  <c r="J106" i="1"/>
  <c r="J99" i="1"/>
  <c r="J92" i="1"/>
  <c r="J85" i="1"/>
  <c r="J78" i="1"/>
  <c r="J57" i="1"/>
  <c r="J43" i="1"/>
  <c r="J36" i="1"/>
  <c r="J29" i="1"/>
  <c r="J22" i="1"/>
  <c r="J645" i="1"/>
  <c r="J547" i="1"/>
  <c r="J493" i="1"/>
  <c r="J446" i="1"/>
  <c r="J396" i="1"/>
  <c r="J264" i="1"/>
  <c r="J241" i="1"/>
  <c r="J228" i="1"/>
  <c r="J206" i="1"/>
  <c r="J203" i="1"/>
  <c r="J831" i="1"/>
  <c r="J587" i="1"/>
  <c r="J450" i="1"/>
  <c r="J393" i="1"/>
  <c r="J368" i="1"/>
  <c r="J327" i="1"/>
  <c r="J305" i="1"/>
  <c r="J302" i="1"/>
  <c r="J249" i="1"/>
  <c r="J158" i="1"/>
  <c r="J151" i="1"/>
  <c r="J144" i="1"/>
  <c r="J137" i="1"/>
  <c r="M137" i="1" s="1"/>
  <c r="Y137" i="1" s="1"/>
  <c r="J124" i="1"/>
  <c r="J117" i="1"/>
  <c r="M117" i="1" s="1"/>
  <c r="Y117" i="1" s="1"/>
  <c r="J110" i="1"/>
  <c r="J103" i="1"/>
  <c r="J96" i="1"/>
  <c r="J89" i="1"/>
  <c r="J82" i="1"/>
  <c r="J75" i="1"/>
  <c r="J68" i="1"/>
  <c r="J61" i="1"/>
  <c r="J54" i="1"/>
  <c r="J47" i="1"/>
  <c r="J40" i="1"/>
  <c r="J33" i="1"/>
  <c r="M33" i="1" s="1"/>
  <c r="Y33" i="1" s="1"/>
  <c r="J26" i="1"/>
  <c r="J19" i="1"/>
  <c r="J791" i="1"/>
  <c r="J634" i="1"/>
  <c r="J610" i="1"/>
  <c r="J515" i="1"/>
  <c r="J492" i="1"/>
  <c r="J483" i="1"/>
  <c r="J389" i="1"/>
  <c r="J379" i="1"/>
  <c r="J272" i="1"/>
  <c r="J270" i="1"/>
  <c r="J247" i="1"/>
  <c r="J231" i="1"/>
  <c r="M231" i="1" s="1"/>
  <c r="Y231" i="1" s="1"/>
  <c r="J758" i="1"/>
  <c r="J668" i="1"/>
  <c r="M668" i="1" s="1"/>
  <c r="Y668" i="1" s="1"/>
  <c r="J624" i="1"/>
  <c r="J573" i="1"/>
  <c r="J565" i="1"/>
  <c r="J533" i="1"/>
  <c r="J461" i="1"/>
  <c r="J354" i="1"/>
  <c r="J351" i="1"/>
  <c r="J757" i="1"/>
  <c r="J633" i="1"/>
  <c r="J473" i="1"/>
  <c r="J382" i="1"/>
  <c r="J376" i="1"/>
  <c r="J855" i="1"/>
  <c r="J812" i="1"/>
  <c r="J20" i="1"/>
  <c r="J42" i="1"/>
  <c r="I44" i="1"/>
  <c r="J53" i="1"/>
  <c r="I55" i="1"/>
  <c r="I66" i="1"/>
  <c r="I77" i="1"/>
  <c r="J107" i="1"/>
  <c r="J118" i="1"/>
  <c r="J129" i="1"/>
  <c r="I135" i="1"/>
  <c r="I146" i="1"/>
  <c r="J181" i="1"/>
  <c r="J183" i="1"/>
  <c r="I195" i="1"/>
  <c r="J226" i="1"/>
  <c r="J240" i="1"/>
  <c r="I263" i="1"/>
  <c r="J292" i="1"/>
  <c r="I296" i="1"/>
  <c r="J309" i="1"/>
  <c r="I313" i="1"/>
  <c r="I348" i="1"/>
  <c r="I364" i="1"/>
  <c r="J415" i="1"/>
  <c r="I436" i="1"/>
  <c r="I467" i="1"/>
  <c r="K20" i="1"/>
  <c r="J44" i="1"/>
  <c r="I38" i="1"/>
  <c r="I49" i="1"/>
  <c r="K55" i="1"/>
  <c r="K77" i="1"/>
  <c r="J79" i="1"/>
  <c r="K88" i="1"/>
  <c r="J90" i="1"/>
  <c r="J101" i="1"/>
  <c r="I114" i="1"/>
  <c r="J123" i="1"/>
  <c r="I125" i="1"/>
  <c r="K135" i="1"/>
  <c r="K146" i="1"/>
  <c r="J148" i="1"/>
  <c r="K157" i="1"/>
  <c r="J159" i="1"/>
  <c r="I172" i="1"/>
  <c r="J174" i="1"/>
  <c r="J193" i="1"/>
  <c r="K195" i="1"/>
  <c r="I205" i="1"/>
  <c r="I207" i="1"/>
  <c r="J215" i="1"/>
  <c r="J217" i="1"/>
  <c r="J229" i="1"/>
  <c r="K244" i="1"/>
  <c r="I254" i="1"/>
  <c r="J267" i="1"/>
  <c r="I270" i="1"/>
  <c r="I284" i="1"/>
  <c r="K296" i="1"/>
  <c r="I301" i="1"/>
  <c r="I314" i="1"/>
  <c r="K326" i="1"/>
  <c r="J331" i="1"/>
  <c r="I359" i="1"/>
  <c r="K370" i="1"/>
  <c r="I429" i="1"/>
  <c r="I452" i="1"/>
  <c r="I476" i="1"/>
  <c r="K486" i="1"/>
  <c r="M486" i="1" s="1"/>
  <c r="Y486" i="1" s="1"/>
  <c r="K519" i="1"/>
  <c r="J544" i="1"/>
  <c r="I599" i="1"/>
  <c r="I614" i="1"/>
  <c r="J650" i="1"/>
  <c r="I727" i="1"/>
  <c r="J1008" i="1"/>
  <c r="M1008" i="1" s="1"/>
  <c r="Y1008" i="1" s="1"/>
  <c r="F9" i="1"/>
  <c r="J1010" i="1" s="1"/>
  <c r="K25" i="1"/>
  <c r="J27" i="1"/>
  <c r="J38" i="1"/>
  <c r="J49" i="1"/>
  <c r="I51" i="1"/>
  <c r="J60" i="1"/>
  <c r="I62" i="1"/>
  <c r="I73" i="1"/>
  <c r="I84" i="1"/>
  <c r="K90" i="1"/>
  <c r="K101" i="1"/>
  <c r="K112" i="1"/>
  <c r="J114" i="1"/>
  <c r="K123" i="1"/>
  <c r="J125" i="1"/>
  <c r="I142" i="1"/>
  <c r="I153" i="1"/>
  <c r="K159" i="1"/>
  <c r="J172" i="1"/>
  <c r="I184" i="1"/>
  <c r="I186" i="1"/>
  <c r="J205" i="1"/>
  <c r="J207" i="1"/>
  <c r="K215" i="1"/>
  <c r="I227" i="1"/>
  <c r="I232" i="1"/>
  <c r="I238" i="1"/>
  <c r="I257" i="1"/>
  <c r="K267" i="1"/>
  <c r="I271" i="1"/>
  <c r="J284" i="1"/>
  <c r="I288" i="1"/>
  <c r="K314" i="1"/>
  <c r="K331" i="1"/>
  <c r="I335" i="1"/>
  <c r="J355" i="1"/>
  <c r="J359" i="1"/>
  <c r="I376" i="1"/>
  <c r="K422" i="1"/>
  <c r="J429" i="1"/>
  <c r="J452" i="1"/>
  <c r="J476" i="1"/>
  <c r="K544" i="1"/>
  <c r="J570" i="1"/>
  <c r="I630" i="1"/>
  <c r="K650" i="1"/>
  <c r="J112" i="1"/>
  <c r="I21" i="1"/>
  <c r="K27" i="1"/>
  <c r="K38" i="1"/>
  <c r="K49" i="1"/>
  <c r="J51" i="1"/>
  <c r="K60" i="1"/>
  <c r="J62" i="1"/>
  <c r="J73" i="1"/>
  <c r="J84" i="1"/>
  <c r="I86" i="1"/>
  <c r="J95" i="1"/>
  <c r="I97" i="1"/>
  <c r="I108" i="1"/>
  <c r="I119" i="1"/>
  <c r="K125" i="1"/>
  <c r="J142" i="1"/>
  <c r="J153" i="1"/>
  <c r="I155" i="1"/>
  <c r="K170" i="1"/>
  <c r="J184" i="1"/>
  <c r="J186" i="1"/>
  <c r="I198" i="1"/>
  <c r="K205" i="1"/>
  <c r="K213" i="1"/>
  <c r="J227" i="1"/>
  <c r="J232" i="1"/>
  <c r="M232" i="1" s="1"/>
  <c r="Y232" i="1" s="1"/>
  <c r="K238" i="1"/>
  <c r="I261" i="1"/>
  <c r="K271" i="1"/>
  <c r="I274" i="1"/>
  <c r="K284" i="1"/>
  <c r="J288" i="1"/>
  <c r="K293" i="1"/>
  <c r="I306" i="1"/>
  <c r="I323" i="1"/>
  <c r="I336" i="1"/>
  <c r="I350" i="1"/>
  <c r="K355" i="1"/>
  <c r="K376" i="1"/>
  <c r="K452" i="1"/>
  <c r="I496" i="1"/>
  <c r="J508" i="1"/>
  <c r="J586" i="1"/>
  <c r="I600" i="1"/>
  <c r="J742" i="1"/>
  <c r="I401" i="1"/>
  <c r="J422" i="1"/>
  <c r="J21" i="1"/>
  <c r="I23" i="1"/>
  <c r="J32" i="1"/>
  <c r="I34" i="1"/>
  <c r="I45" i="1"/>
  <c r="I56" i="1"/>
  <c r="K62" i="1"/>
  <c r="K73" i="1"/>
  <c r="K84" i="1"/>
  <c r="J86" i="1"/>
  <c r="K95" i="1"/>
  <c r="J97" i="1"/>
  <c r="J108" i="1"/>
  <c r="J119" i="1"/>
  <c r="I121" i="1"/>
  <c r="J130" i="1"/>
  <c r="K142" i="1"/>
  <c r="K153" i="1"/>
  <c r="J155" i="1"/>
  <c r="I177" i="1"/>
  <c r="K184" i="1"/>
  <c r="J196" i="1"/>
  <c r="J198" i="1"/>
  <c r="I218" i="1"/>
  <c r="I220" i="1"/>
  <c r="K227" i="1"/>
  <c r="I230" i="1"/>
  <c r="I248" i="1"/>
  <c r="K258" i="1"/>
  <c r="J261" i="1"/>
  <c r="K274" i="1"/>
  <c r="J306" i="1"/>
  <c r="I310" i="1"/>
  <c r="J323" i="1"/>
  <c r="I340" i="1"/>
  <c r="I345" i="1"/>
  <c r="I372" i="1"/>
  <c r="J390" i="1"/>
  <c r="K404" i="1"/>
  <c r="I411" i="1"/>
  <c r="J424" i="1"/>
  <c r="K431" i="1"/>
  <c r="J471" i="1"/>
  <c r="K479" i="1"/>
  <c r="J575" i="1"/>
  <c r="I746" i="1"/>
  <c r="I781" i="1"/>
  <c r="I1008" i="1"/>
  <c r="E9" i="1"/>
  <c r="I1010" i="1" s="1"/>
  <c r="I27" i="1"/>
  <c r="K66" i="1"/>
  <c r="J23" i="1"/>
  <c r="K32" i="1"/>
  <c r="J45" i="1"/>
  <c r="J56" i="1"/>
  <c r="J67" i="1"/>
  <c r="K119" i="1"/>
  <c r="J136" i="1"/>
  <c r="I138" i="1"/>
  <c r="I149" i="1"/>
  <c r="I160" i="1"/>
  <c r="J175" i="1"/>
  <c r="J177" i="1"/>
  <c r="K196" i="1"/>
  <c r="K198" i="1"/>
  <c r="J218" i="1"/>
  <c r="J220" i="1"/>
  <c r="J230" i="1"/>
  <c r="K261" i="1"/>
  <c r="I265" i="1"/>
  <c r="K306" i="1"/>
  <c r="J310" i="1"/>
  <c r="K323" i="1"/>
  <c r="K340" i="1"/>
  <c r="J345" i="1"/>
  <c r="K356" i="1"/>
  <c r="J372" i="1"/>
  <c r="K391" i="1"/>
  <c r="J411" i="1"/>
  <c r="K424" i="1"/>
  <c r="K471" i="1"/>
  <c r="I512" i="1"/>
  <c r="K525" i="1"/>
  <c r="J576" i="1"/>
  <c r="M576" i="1" s="1"/>
  <c r="Y576" i="1" s="1"/>
  <c r="J590" i="1"/>
  <c r="I697" i="1"/>
  <c r="J747" i="1"/>
  <c r="J904" i="1"/>
  <c r="K42" i="1"/>
  <c r="J25" i="1"/>
  <c r="K21" i="1"/>
  <c r="J34" i="1"/>
  <c r="I58" i="1"/>
  <c r="I69" i="1"/>
  <c r="I80" i="1"/>
  <c r="I91" i="1"/>
  <c r="K97" i="1"/>
  <c r="K108" i="1"/>
  <c r="J121" i="1"/>
  <c r="M121" i="1" s="1"/>
  <c r="Y121" i="1" s="1"/>
  <c r="K130" i="1"/>
  <c r="K1016" i="1"/>
  <c r="K1013" i="1"/>
  <c r="K1014" i="1"/>
  <c r="K1012" i="1"/>
  <c r="K1017" i="1"/>
  <c r="K1011" i="1"/>
  <c r="K1015" i="1"/>
  <c r="I28" i="1"/>
  <c r="K34" i="1"/>
  <c r="K45" i="1"/>
  <c r="K56" i="1"/>
  <c r="J58" i="1"/>
  <c r="K67" i="1"/>
  <c r="J69" i="1"/>
  <c r="J80" i="1"/>
  <c r="J91" i="1"/>
  <c r="I93" i="1"/>
  <c r="J102" i="1"/>
  <c r="I104" i="1"/>
  <c r="I115" i="1"/>
  <c r="I126" i="1"/>
  <c r="K136" i="1"/>
  <c r="J138" i="1"/>
  <c r="J149" i="1"/>
  <c r="J160" i="1"/>
  <c r="M160" i="1" s="1"/>
  <c r="Y160" i="1" s="1"/>
  <c r="I162" i="1"/>
  <c r="I168" i="1"/>
  <c r="K175" i="1"/>
  <c r="I187" i="1"/>
  <c r="J189" i="1"/>
  <c r="I211" i="1"/>
  <c r="K218" i="1"/>
  <c r="K230" i="1"/>
  <c r="J236" i="1"/>
  <c r="I252" i="1"/>
  <c r="I255" i="1"/>
  <c r="K265" i="1"/>
  <c r="I268" i="1"/>
  <c r="I275" i="1"/>
  <c r="I282" i="1"/>
  <c r="K285" i="1"/>
  <c r="I298" i="1"/>
  <c r="I315" i="1"/>
  <c r="K345" i="1"/>
  <c r="I361" i="1"/>
  <c r="K372" i="1"/>
  <c r="K411" i="1"/>
  <c r="I418" i="1"/>
  <c r="I501" i="1"/>
  <c r="J512" i="1"/>
  <c r="J537" i="1"/>
  <c r="I562" i="1"/>
  <c r="J591" i="1"/>
  <c r="I639" i="1"/>
  <c r="Q1013" i="1"/>
  <c r="S1013" i="1" s="1"/>
  <c r="W1013" i="1" s="1"/>
  <c r="U1013" i="1" s="1"/>
  <c r="O1013" i="1"/>
  <c r="J1012" i="1"/>
  <c r="J1016" i="1"/>
  <c r="J1013" i="1"/>
  <c r="J1014" i="1"/>
  <c r="J1017" i="1"/>
  <c r="J1011" i="1"/>
  <c r="M1011" i="1" s="1"/>
  <c r="Y1011" i="1" s="1"/>
  <c r="J1015" i="1"/>
  <c r="Q1017" i="1"/>
  <c r="S1017" i="1" s="1"/>
  <c r="W1017" i="1" s="1"/>
  <c r="U1017" i="1" s="1"/>
  <c r="O1017" i="1"/>
  <c r="Q1015" i="1"/>
  <c r="S1015" i="1" s="1"/>
  <c r="W1015" i="1" s="1"/>
  <c r="U1015" i="1" s="1"/>
  <c r="O1015" i="1"/>
  <c r="O1014" i="1"/>
  <c r="M512" i="1" l="1"/>
  <c r="Y512" i="1" s="1"/>
  <c r="O568" i="1"/>
  <c r="M201" i="1"/>
  <c r="Y201" i="1" s="1"/>
  <c r="M25" i="1"/>
  <c r="Y25" i="1" s="1"/>
  <c r="O145" i="1"/>
  <c r="M398" i="1"/>
  <c r="Y398" i="1" s="1"/>
  <c r="Q65" i="1"/>
  <c r="S65" i="1" s="1"/>
  <c r="W65" i="1" s="1"/>
  <c r="U65" i="1" s="1"/>
  <c r="O141" i="1"/>
  <c r="M353" i="1"/>
  <c r="Y353" i="1" s="1"/>
  <c r="O312" i="1"/>
  <c r="M72" i="1"/>
  <c r="Y72" i="1" s="1"/>
  <c r="M373" i="1"/>
  <c r="Y373" i="1" s="1"/>
  <c r="M517" i="1"/>
  <c r="Y517" i="1" s="1"/>
  <c r="M623" i="1"/>
  <c r="Y623" i="1" s="1"/>
  <c r="M746" i="1"/>
  <c r="Y746" i="1" s="1"/>
  <c r="M702" i="1"/>
  <c r="Y702" i="1" s="1"/>
  <c r="O59" i="1"/>
  <c r="M118" i="1"/>
  <c r="Y118" i="1" s="1"/>
  <c r="M607" i="1"/>
  <c r="Y607" i="1" s="1"/>
  <c r="M362" i="1"/>
  <c r="Y362" i="1" s="1"/>
  <c r="O269" i="1"/>
  <c r="M163" i="1"/>
  <c r="Y163" i="1" s="1"/>
  <c r="M591" i="1"/>
  <c r="Y591" i="1" s="1"/>
  <c r="M483" i="1"/>
  <c r="Y483" i="1" s="1"/>
  <c r="M493" i="1"/>
  <c r="Y493" i="1" s="1"/>
  <c r="M619" i="1"/>
  <c r="Y619" i="1" s="1"/>
  <c r="M989" i="1"/>
  <c r="Y989" i="1" s="1"/>
  <c r="M461" i="1"/>
  <c r="Y461" i="1" s="1"/>
  <c r="M82" i="1"/>
  <c r="Y82" i="1" s="1"/>
  <c r="M482" i="1"/>
  <c r="Y482" i="1" s="1"/>
  <c r="M371" i="1"/>
  <c r="Y371" i="1" s="1"/>
  <c r="M630" i="1"/>
  <c r="Y630" i="1" s="1"/>
  <c r="M745" i="1"/>
  <c r="Y745" i="1" s="1"/>
  <c r="M843" i="1"/>
  <c r="Y843" i="1" s="1"/>
  <c r="O321" i="1"/>
  <c r="O212" i="1"/>
  <c r="O594" i="1"/>
  <c r="M58" i="1"/>
  <c r="Y58" i="1" s="1"/>
  <c r="M783" i="1"/>
  <c r="Y783" i="1" s="1"/>
  <c r="M939" i="1"/>
  <c r="Y939" i="1" s="1"/>
  <c r="M860" i="1"/>
  <c r="Y860" i="1" s="1"/>
  <c r="M288" i="1"/>
  <c r="Y288" i="1" s="1"/>
  <c r="M354" i="1"/>
  <c r="Y354" i="1" s="1"/>
  <c r="M516" i="1"/>
  <c r="Y516" i="1" s="1"/>
  <c r="M419" i="1"/>
  <c r="Y419" i="1" s="1"/>
  <c r="M813" i="1"/>
  <c r="Y813" i="1" s="1"/>
  <c r="M278" i="1"/>
  <c r="Y278" i="1" s="1"/>
  <c r="Q490" i="1"/>
  <c r="S490" i="1" s="1"/>
  <c r="W490" i="1" s="1"/>
  <c r="U490" i="1" s="1"/>
  <c r="M204" i="1"/>
  <c r="Y204" i="1" s="1"/>
  <c r="M319" i="1"/>
  <c r="Y319" i="1" s="1"/>
  <c r="M513" i="1"/>
  <c r="Y513" i="1" s="1"/>
  <c r="M693" i="1"/>
  <c r="Y693" i="1" s="1"/>
  <c r="M642" i="1"/>
  <c r="Y642" i="1" s="1"/>
  <c r="O441" i="1"/>
  <c r="M211" i="1"/>
  <c r="Y211" i="1" s="1"/>
  <c r="M530" i="1"/>
  <c r="Y530" i="1" s="1"/>
  <c r="O190" i="1"/>
  <c r="M923" i="1"/>
  <c r="Y923" i="1" s="1"/>
  <c r="M491" i="1"/>
  <c r="Y491" i="1" s="1"/>
  <c r="M595" i="1"/>
  <c r="Y595" i="1" s="1"/>
  <c r="M102" i="1"/>
  <c r="Y102" i="1" s="1"/>
  <c r="M855" i="1"/>
  <c r="Y855" i="1" s="1"/>
  <c r="M758" i="1"/>
  <c r="Y758" i="1" s="1"/>
  <c r="M506" i="1"/>
  <c r="Y506" i="1" s="1"/>
  <c r="M707" i="1"/>
  <c r="Y707" i="1" s="1"/>
  <c r="M722" i="1"/>
  <c r="Y722" i="1" s="1"/>
  <c r="M214" i="1"/>
  <c r="Y214" i="1" s="1"/>
  <c r="M665" i="1"/>
  <c r="Y665" i="1" s="1"/>
  <c r="O139" i="1"/>
  <c r="M934" i="1"/>
  <c r="Y934" i="1" s="1"/>
  <c r="M703" i="1"/>
  <c r="Y703" i="1" s="1"/>
  <c r="M155" i="1"/>
  <c r="Y155" i="1" s="1"/>
  <c r="M592" i="1"/>
  <c r="Y592" i="1" s="1"/>
  <c r="M950" i="1"/>
  <c r="Y950" i="1" s="1"/>
  <c r="M31" i="1"/>
  <c r="Y31" i="1" s="1"/>
  <c r="M598" i="1"/>
  <c r="Y598" i="1" s="1"/>
  <c r="O473" i="1"/>
  <c r="O394" i="1"/>
  <c r="M247" i="1"/>
  <c r="Y247" i="1" s="1"/>
  <c r="M40" i="1"/>
  <c r="Y40" i="1" s="1"/>
  <c r="M144" i="1"/>
  <c r="Y144" i="1" s="1"/>
  <c r="M173" i="1"/>
  <c r="Y173" i="1" s="1"/>
  <c r="M304" i="1"/>
  <c r="Y304" i="1" s="1"/>
  <c r="M489" i="1"/>
  <c r="Y489" i="1" s="1"/>
  <c r="M987" i="1"/>
  <c r="Y987" i="1" s="1"/>
  <c r="M992" i="1"/>
  <c r="Y992" i="1" s="1"/>
  <c r="M801" i="1"/>
  <c r="Y801" i="1" s="1"/>
  <c r="Q295" i="1"/>
  <c r="S295" i="1" s="1"/>
  <c r="W295" i="1" s="1"/>
  <c r="U295" i="1" s="1"/>
  <c r="M156" i="1"/>
  <c r="Y156" i="1" s="1"/>
  <c r="M36" i="1"/>
  <c r="Y36" i="1" s="1"/>
  <c r="M749" i="1"/>
  <c r="Y749" i="1" s="1"/>
  <c r="M92" i="1"/>
  <c r="Y92" i="1" s="1"/>
  <c r="M191" i="1"/>
  <c r="Y191" i="1" s="1"/>
  <c r="M141" i="1"/>
  <c r="Y141" i="1" s="1"/>
  <c r="M708" i="1"/>
  <c r="Y708" i="1" s="1"/>
  <c r="M663" i="1"/>
  <c r="Y663" i="1" s="1"/>
  <c r="Q72" i="1"/>
  <c r="S72" i="1" s="1"/>
  <c r="W72" i="1" s="1"/>
  <c r="U72" i="1" s="1"/>
  <c r="M100" i="1"/>
  <c r="Y100" i="1" s="1"/>
  <c r="M126" i="1"/>
  <c r="Y126" i="1" s="1"/>
  <c r="M646" i="1"/>
  <c r="Y646" i="1" s="1"/>
  <c r="M957" i="1"/>
  <c r="Y957" i="1" s="1"/>
  <c r="M997" i="1"/>
  <c r="Y997" i="1" s="1"/>
  <c r="M986" i="1"/>
  <c r="Y986" i="1" s="1"/>
  <c r="M138" i="1"/>
  <c r="Y138" i="1" s="1"/>
  <c r="M600" i="1"/>
  <c r="Y600" i="1" s="1"/>
  <c r="M330" i="1"/>
  <c r="Y330" i="1" s="1"/>
  <c r="M672" i="1"/>
  <c r="Y672" i="1" s="1"/>
  <c r="M991" i="1"/>
  <c r="Y991" i="1" s="1"/>
  <c r="M37" i="1"/>
  <c r="Y37" i="1" s="1"/>
  <c r="M622" i="1"/>
  <c r="Y622" i="1" s="1"/>
  <c r="M970" i="1"/>
  <c r="Y970" i="1" s="1"/>
  <c r="M53" i="1"/>
  <c r="Y53" i="1" s="1"/>
  <c r="M320" i="1"/>
  <c r="Y320" i="1" s="1"/>
  <c r="M421" i="1"/>
  <c r="Y421" i="1" s="1"/>
  <c r="M277" i="1"/>
  <c r="Y277" i="1" s="1"/>
  <c r="M796" i="1"/>
  <c r="Y796" i="1" s="1"/>
  <c r="M778" i="1"/>
  <c r="Y778" i="1" s="1"/>
  <c r="M709" i="1"/>
  <c r="Y709" i="1" s="1"/>
  <c r="M901" i="1"/>
  <c r="Y901" i="1" s="1"/>
  <c r="M892" i="1"/>
  <c r="Y892" i="1" s="1"/>
  <c r="M640" i="1"/>
  <c r="Y640" i="1" s="1"/>
  <c r="M867" i="1"/>
  <c r="Y867" i="1" s="1"/>
  <c r="M643" i="1"/>
  <c r="Y643" i="1" s="1"/>
  <c r="M283" i="1"/>
  <c r="Y283" i="1" s="1"/>
  <c r="M669" i="1"/>
  <c r="Y669" i="1" s="1"/>
  <c r="M23" i="1"/>
  <c r="Y23" i="1" s="1"/>
  <c r="M550" i="1"/>
  <c r="Y550" i="1" s="1"/>
  <c r="M657" i="1"/>
  <c r="Y657" i="1" s="1"/>
  <c r="O287" i="1"/>
  <c r="M212" i="1"/>
  <c r="Y212" i="1" s="1"/>
  <c r="M39" i="1"/>
  <c r="Y39" i="1" s="1"/>
  <c r="M292" i="1"/>
  <c r="Y292" i="1" s="1"/>
  <c r="M1014" i="1"/>
  <c r="Y1014" i="1" s="1"/>
  <c r="M791" i="1"/>
  <c r="Y791" i="1" s="1"/>
  <c r="M161" i="1"/>
  <c r="Y161" i="1" s="1"/>
  <c r="M397" i="1"/>
  <c r="Y397" i="1" s="1"/>
  <c r="M299" i="1"/>
  <c r="Y299" i="1" s="1"/>
  <c r="M596" i="1"/>
  <c r="Y596" i="1" s="1"/>
  <c r="M594" i="1"/>
  <c r="Y594" i="1" s="1"/>
  <c r="M818" i="1"/>
  <c r="Y818" i="1" s="1"/>
  <c r="M168" i="1"/>
  <c r="Y168" i="1" s="1"/>
  <c r="O192" i="1"/>
  <c r="O156" i="1"/>
  <c r="O76" i="1"/>
  <c r="M358" i="1"/>
  <c r="Y358" i="1" s="1"/>
  <c r="O555" i="1"/>
  <c r="M435" i="1"/>
  <c r="Y435" i="1" s="1"/>
  <c r="M908" i="1"/>
  <c r="Y908" i="1" s="1"/>
  <c r="M349" i="1"/>
  <c r="Y349" i="1" s="1"/>
  <c r="M447" i="1"/>
  <c r="Y447" i="1" s="1"/>
  <c r="M915" i="1"/>
  <c r="Y915" i="1" s="1"/>
  <c r="M887" i="1"/>
  <c r="Y887" i="1" s="1"/>
  <c r="M933" i="1"/>
  <c r="Y933" i="1" s="1"/>
  <c r="O276" i="1"/>
  <c r="M111" i="1"/>
  <c r="Y111" i="1" s="1"/>
  <c r="M143" i="1"/>
  <c r="Y143" i="1" s="1"/>
  <c r="M109" i="1"/>
  <c r="Y109" i="1" s="1"/>
  <c r="M91" i="1"/>
  <c r="Y91" i="1" s="1"/>
  <c r="M904" i="1"/>
  <c r="Y904" i="1" s="1"/>
  <c r="M26" i="1"/>
  <c r="Y26" i="1" s="1"/>
  <c r="M124" i="1"/>
  <c r="Y124" i="1" s="1"/>
  <c r="M57" i="1"/>
  <c r="Y57" i="1" s="1"/>
  <c r="M499" i="1"/>
  <c r="Y499" i="1" s="1"/>
  <c r="M485" i="1"/>
  <c r="Y485" i="1" s="1"/>
  <c r="M388" i="1"/>
  <c r="Y388" i="1" s="1"/>
  <c r="M524" i="1"/>
  <c r="Y524" i="1" s="1"/>
  <c r="M629" i="1"/>
  <c r="Y629" i="1" s="1"/>
  <c r="M935" i="1"/>
  <c r="Y935" i="1" s="1"/>
  <c r="M609" i="1"/>
  <c r="Y609" i="1" s="1"/>
  <c r="M792" i="1"/>
  <c r="Y792" i="1" s="1"/>
  <c r="M649" i="1"/>
  <c r="Y649" i="1" s="1"/>
  <c r="M966" i="1"/>
  <c r="Y966" i="1" s="1"/>
  <c r="M787" i="1"/>
  <c r="Y787" i="1" s="1"/>
  <c r="M876" i="1"/>
  <c r="Y876" i="1" s="1"/>
  <c r="Q272" i="1"/>
  <c r="S272" i="1" s="1"/>
  <c r="W272" i="1" s="1"/>
  <c r="U272" i="1" s="1"/>
  <c r="M495" i="1"/>
  <c r="Y495" i="1" s="1"/>
  <c r="M327" i="1"/>
  <c r="Y327" i="1" s="1"/>
  <c r="M686" i="1"/>
  <c r="Y686" i="1" s="1"/>
  <c r="M575" i="1"/>
  <c r="Y575" i="1" s="1"/>
  <c r="M570" i="1"/>
  <c r="Y570" i="1" s="1"/>
  <c r="M849" i="1"/>
  <c r="Y849" i="1" s="1"/>
  <c r="M297" i="1"/>
  <c r="Y297" i="1" s="1"/>
  <c r="M763" i="1"/>
  <c r="Y763" i="1" s="1"/>
  <c r="M558" i="1"/>
  <c r="Y558" i="1" s="1"/>
  <c r="M641" i="1"/>
  <c r="Y641" i="1" s="1"/>
  <c r="M673" i="1"/>
  <c r="Y673" i="1" s="1"/>
  <c r="M548" i="1"/>
  <c r="Y548" i="1" s="1"/>
  <c r="M616" i="1"/>
  <c r="Y616" i="1" s="1"/>
  <c r="M888" i="1"/>
  <c r="Y888" i="1" s="1"/>
  <c r="M705" i="1"/>
  <c r="Y705" i="1" s="1"/>
  <c r="M656" i="1"/>
  <c r="Y656" i="1" s="1"/>
  <c r="M93" i="1"/>
  <c r="Y93" i="1" s="1"/>
  <c r="M46" i="1"/>
  <c r="Y46" i="1" s="1"/>
  <c r="M28" i="1"/>
  <c r="Y28" i="1" s="1"/>
  <c r="M192" i="1"/>
  <c r="Y192" i="1" s="1"/>
  <c r="M60" i="1"/>
  <c r="Y60" i="1" s="1"/>
  <c r="M267" i="1"/>
  <c r="Y267" i="1" s="1"/>
  <c r="Q425" i="1"/>
  <c r="S425" i="1" s="1"/>
  <c r="W425" i="1" s="1"/>
  <c r="U425" i="1" s="1"/>
  <c r="M944" i="1"/>
  <c r="Y944" i="1" s="1"/>
  <c r="M105" i="1"/>
  <c r="Y105" i="1" s="1"/>
  <c r="M206" i="1"/>
  <c r="Y206" i="1" s="1"/>
  <c r="M366" i="1"/>
  <c r="Y366" i="1" s="1"/>
  <c r="M611" i="1"/>
  <c r="Y611" i="1" s="1"/>
  <c r="M251" i="1"/>
  <c r="Y251" i="1" s="1"/>
  <c r="M344" i="1"/>
  <c r="Y344" i="1" s="1"/>
  <c r="M782" i="1"/>
  <c r="Y782" i="1" s="1"/>
  <c r="M363" i="1"/>
  <c r="Y363" i="1" s="1"/>
  <c r="M457" i="1"/>
  <c r="Y457" i="1" s="1"/>
  <c r="M636" i="1"/>
  <c r="Y636" i="1" s="1"/>
  <c r="M1005" i="1"/>
  <c r="Y1005" i="1" s="1"/>
  <c r="M962" i="1"/>
  <c r="Y962" i="1" s="1"/>
  <c r="M951" i="1"/>
  <c r="Y951" i="1" s="1"/>
  <c r="M178" i="1"/>
  <c r="Y178" i="1" s="1"/>
  <c r="M382" i="1"/>
  <c r="Y382" i="1" s="1"/>
  <c r="M228" i="1"/>
  <c r="Y228" i="1" s="1"/>
  <c r="M964" i="1"/>
  <c r="Y964" i="1" s="1"/>
  <c r="M735" i="1"/>
  <c r="Y735" i="1" s="1"/>
  <c r="M510" i="1"/>
  <c r="Y510" i="1" s="1"/>
  <c r="M582" i="1"/>
  <c r="Y582" i="1" s="1"/>
  <c r="M897" i="1"/>
  <c r="Y897" i="1" s="1"/>
  <c r="M961" i="1"/>
  <c r="Y961" i="1" s="1"/>
  <c r="M179" i="1"/>
  <c r="Y179" i="1" s="1"/>
  <c r="M531" i="1"/>
  <c r="Y531" i="1" s="1"/>
  <c r="M262" i="1"/>
  <c r="Y262" i="1" s="1"/>
  <c r="M384" i="1"/>
  <c r="Y384" i="1" s="1"/>
  <c r="M584" i="1"/>
  <c r="Y584" i="1" s="1"/>
  <c r="M870" i="1"/>
  <c r="Y870" i="1" s="1"/>
  <c r="M874" i="1"/>
  <c r="Y874" i="1" s="1"/>
  <c r="M974" i="1"/>
  <c r="Y974" i="1" s="1"/>
  <c r="M325" i="1"/>
  <c r="Y325" i="1" s="1"/>
  <c r="M980" i="1"/>
  <c r="Y980" i="1" s="1"/>
  <c r="O122" i="1"/>
  <c r="M221" i="1"/>
  <c r="Y221" i="1" s="1"/>
  <c r="O481" i="1"/>
  <c r="O30" i="1"/>
  <c r="O24" i="1"/>
  <c r="M174" i="1"/>
  <c r="Y174" i="1" s="1"/>
  <c r="M216" i="1"/>
  <c r="Y216" i="1" s="1"/>
  <c r="M307" i="1"/>
  <c r="Y307" i="1" s="1"/>
  <c r="Q35" i="1"/>
  <c r="S35" i="1" s="1"/>
  <c r="W35" i="1" s="1"/>
  <c r="U35" i="1" s="1"/>
  <c r="M428" i="1"/>
  <c r="Y428" i="1" s="1"/>
  <c r="M83" i="1"/>
  <c r="Y83" i="1" s="1"/>
  <c r="M98" i="1"/>
  <c r="Y98" i="1" s="1"/>
  <c r="M248" i="1"/>
  <c r="Y248" i="1" s="1"/>
  <c r="M340" i="1"/>
  <c r="Y340" i="1" s="1"/>
  <c r="M356" i="1"/>
  <c r="Y356" i="1" s="1"/>
  <c r="M545" i="1"/>
  <c r="Y545" i="1" s="1"/>
  <c r="M955" i="1"/>
  <c r="Y955" i="1" s="1"/>
  <c r="M86" i="1"/>
  <c r="Y86" i="1" s="1"/>
  <c r="M314" i="1"/>
  <c r="Y314" i="1" s="1"/>
  <c r="M223" i="1"/>
  <c r="Y223" i="1" s="1"/>
  <c r="M407" i="1"/>
  <c r="Y407" i="1" s="1"/>
  <c r="M321" i="1"/>
  <c r="Y321" i="1" s="1"/>
  <c r="M152" i="1"/>
  <c r="Y152" i="1" s="1"/>
  <c r="M116" i="1"/>
  <c r="Y116" i="1" s="1"/>
  <c r="M426" i="1"/>
  <c r="Y426" i="1" s="1"/>
  <c r="M401" i="1"/>
  <c r="Y401" i="1" s="1"/>
  <c r="M185" i="1"/>
  <c r="Y185" i="1" s="1"/>
  <c r="M814" i="1"/>
  <c r="Y814" i="1" s="1"/>
  <c r="M411" i="1"/>
  <c r="Y411" i="1" s="1"/>
  <c r="M544" i="1"/>
  <c r="Y544" i="1" s="1"/>
  <c r="Q169" i="1"/>
  <c r="S169" i="1" s="1"/>
  <c r="W169" i="1" s="1"/>
  <c r="U169" i="1" s="1"/>
  <c r="M309" i="1"/>
  <c r="Y309" i="1" s="1"/>
  <c r="M351" i="1"/>
  <c r="Y351" i="1" s="1"/>
  <c r="M302" i="1"/>
  <c r="Y302" i="1" s="1"/>
  <c r="M446" i="1"/>
  <c r="Y446" i="1" s="1"/>
  <c r="M462" i="1"/>
  <c r="Y462" i="1" s="1"/>
  <c r="M455" i="1"/>
  <c r="Y455" i="1" s="1"/>
  <c r="M477" i="1"/>
  <c r="Y477" i="1" s="1"/>
  <c r="M823" i="1"/>
  <c r="Y823" i="1" s="1"/>
  <c r="M468" i="1"/>
  <c r="Y468" i="1" s="1"/>
  <c r="M357" i="1"/>
  <c r="Y357" i="1" s="1"/>
  <c r="M504" i="1"/>
  <c r="Y504" i="1" s="1"/>
  <c r="M300" i="1"/>
  <c r="Y300" i="1" s="1"/>
  <c r="M467" i="1"/>
  <c r="Y467" i="1" s="1"/>
  <c r="M666" i="1"/>
  <c r="Y666" i="1" s="1"/>
  <c r="M487" i="1"/>
  <c r="Y487" i="1" s="1"/>
  <c r="M806" i="1"/>
  <c r="Y806" i="1" s="1"/>
  <c r="M798" i="1"/>
  <c r="Y798" i="1" s="1"/>
  <c r="M827" i="1"/>
  <c r="Y827" i="1" s="1"/>
  <c r="M841" i="1"/>
  <c r="Y841" i="1" s="1"/>
  <c r="M750" i="1"/>
  <c r="Y750" i="1" s="1"/>
  <c r="M768" i="1"/>
  <c r="Y768" i="1" s="1"/>
  <c r="M691" i="1"/>
  <c r="Y691" i="1" s="1"/>
  <c r="M907" i="1"/>
  <c r="Y907" i="1" s="1"/>
  <c r="Q526" i="1"/>
  <c r="S526" i="1" s="1"/>
  <c r="W526" i="1" s="1"/>
  <c r="U526" i="1" s="1"/>
  <c r="O223" i="1"/>
  <c r="M127" i="1"/>
  <c r="Y127" i="1" s="1"/>
  <c r="M334" i="1"/>
  <c r="Y334" i="1" s="1"/>
  <c r="M875" i="1"/>
  <c r="Y875" i="1" s="1"/>
  <c r="M177" i="1"/>
  <c r="Y177" i="1" s="1"/>
  <c r="M219" i="1"/>
  <c r="Y219" i="1" s="1"/>
  <c r="M274" i="1"/>
  <c r="Y274" i="1" s="1"/>
  <c r="M644" i="1"/>
  <c r="Y644" i="1" s="1"/>
  <c r="M676" i="1"/>
  <c r="Y676" i="1" s="1"/>
  <c r="M996" i="1"/>
  <c r="Y996" i="1" s="1"/>
  <c r="M652" i="1"/>
  <c r="Y652" i="1" s="1"/>
  <c r="M847" i="1"/>
  <c r="Y847" i="1" s="1"/>
  <c r="M909" i="1"/>
  <c r="Y909" i="1" s="1"/>
  <c r="M189" i="1"/>
  <c r="Y189" i="1" s="1"/>
  <c r="M842" i="1"/>
  <c r="Y842" i="1" s="1"/>
  <c r="M739" i="1"/>
  <c r="Y739" i="1" s="1"/>
  <c r="M764" i="1"/>
  <c r="Y764" i="1" s="1"/>
  <c r="M555" i="1"/>
  <c r="Y555" i="1" s="1"/>
  <c r="M719" i="1"/>
  <c r="Y719" i="1" s="1"/>
  <c r="M784" i="1"/>
  <c r="Y784" i="1" s="1"/>
  <c r="M803" i="1"/>
  <c r="Y803" i="1" s="1"/>
  <c r="M866" i="1"/>
  <c r="Y866" i="1" s="1"/>
  <c r="M932" i="1"/>
  <c r="Y932" i="1" s="1"/>
  <c r="M568" i="1"/>
  <c r="Y568" i="1" s="1"/>
  <c r="M139" i="1"/>
  <c r="Y139" i="1" s="1"/>
  <c r="M35" i="1"/>
  <c r="Y35" i="1" s="1"/>
  <c r="M199" i="1"/>
  <c r="Y199" i="1" s="1"/>
  <c r="M253" i="1"/>
  <c r="Y253" i="1" s="1"/>
  <c r="M346" i="1"/>
  <c r="Y346" i="1" s="1"/>
  <c r="M412" i="1"/>
  <c r="Y412" i="1" s="1"/>
  <c r="M368" i="1"/>
  <c r="Y368" i="1" s="1"/>
  <c r="M140" i="1"/>
  <c r="Y140" i="1" s="1"/>
  <c r="O37" i="1"/>
  <c r="M80" i="1"/>
  <c r="Y80" i="1" s="1"/>
  <c r="M229" i="1"/>
  <c r="Y229" i="1" s="1"/>
  <c r="M689" i="1"/>
  <c r="Y689" i="1" s="1"/>
  <c r="M678" i="1"/>
  <c r="Y678" i="1" s="1"/>
  <c r="M367" i="1"/>
  <c r="Y367" i="1" s="1"/>
  <c r="M751" i="1"/>
  <c r="Y751" i="1" s="1"/>
  <c r="M741" i="1"/>
  <c r="Y741" i="1" s="1"/>
  <c r="M706" i="1"/>
  <c r="Y706" i="1" s="1"/>
  <c r="O320" i="1"/>
  <c r="O87" i="1"/>
  <c r="M275" i="1"/>
  <c r="Y275" i="1" s="1"/>
  <c r="M579" i="1"/>
  <c r="Y579" i="1" s="1"/>
  <c r="M940" i="1"/>
  <c r="Y940" i="1" s="1"/>
  <c r="M528" i="1"/>
  <c r="Y528" i="1" s="1"/>
  <c r="M710" i="1"/>
  <c r="Y710" i="1" s="1"/>
  <c r="M717" i="1"/>
  <c r="Y717" i="1" s="1"/>
  <c r="M754" i="1"/>
  <c r="Y754" i="1" s="1"/>
  <c r="M906" i="1"/>
  <c r="Y906" i="1" s="1"/>
  <c r="M947" i="1"/>
  <c r="Y947" i="1" s="1"/>
  <c r="M583" i="1"/>
  <c r="Y583" i="1" s="1"/>
  <c r="M170" i="1"/>
  <c r="Y170" i="1" s="1"/>
  <c r="M149" i="1"/>
  <c r="Y149" i="1" s="1"/>
  <c r="M56" i="1"/>
  <c r="Y56" i="1" s="1"/>
  <c r="M424" i="1"/>
  <c r="Y424" i="1" s="1"/>
  <c r="M108" i="1"/>
  <c r="Y108" i="1" s="1"/>
  <c r="M415" i="1"/>
  <c r="Y415" i="1" s="1"/>
  <c r="M383" i="1"/>
  <c r="Y383" i="1" s="1"/>
  <c r="M712" i="1"/>
  <c r="Y712" i="1" s="1"/>
  <c r="M254" i="1"/>
  <c r="Y254" i="1" s="1"/>
  <c r="M414" i="1"/>
  <c r="Y414" i="1" s="1"/>
  <c r="M802" i="1"/>
  <c r="Y802" i="1" s="1"/>
  <c r="M549" i="1"/>
  <c r="Y549" i="1" s="1"/>
  <c r="M233" i="1"/>
  <c r="Y233" i="1" s="1"/>
  <c r="M518" i="1"/>
  <c r="Y518" i="1" s="1"/>
  <c r="M402" i="1"/>
  <c r="Y402" i="1" s="1"/>
  <c r="M718" i="1"/>
  <c r="Y718" i="1" s="1"/>
  <c r="M370" i="1"/>
  <c r="Y370" i="1" s="1"/>
  <c r="M563" i="1"/>
  <c r="Y563" i="1" s="1"/>
  <c r="M628" i="1"/>
  <c r="Y628" i="1" s="1"/>
  <c r="M832" i="1"/>
  <c r="Y832" i="1" s="1"/>
  <c r="M720" i="1"/>
  <c r="Y720" i="1" s="1"/>
  <c r="M891" i="1"/>
  <c r="Y891" i="1" s="1"/>
  <c r="M910" i="1"/>
  <c r="Y910" i="1" s="1"/>
  <c r="M890" i="1"/>
  <c r="Y890" i="1" s="1"/>
  <c r="M969" i="1"/>
  <c r="Y969" i="1" s="1"/>
  <c r="M958" i="1"/>
  <c r="Y958" i="1" s="1"/>
  <c r="O152" i="1"/>
  <c r="O180" i="1"/>
  <c r="M182" i="1"/>
  <c r="Y182" i="1" s="1"/>
  <c r="M315" i="1"/>
  <c r="Y315" i="1" s="1"/>
  <c r="M615" i="1"/>
  <c r="Y615" i="1" s="1"/>
  <c r="M898" i="1"/>
  <c r="Y898" i="1" s="1"/>
  <c r="O105" i="1"/>
  <c r="M78" i="1"/>
  <c r="Y78" i="1" s="1"/>
  <c r="M537" i="1"/>
  <c r="Y537" i="1" s="1"/>
  <c r="M230" i="1"/>
  <c r="Y230" i="1" s="1"/>
  <c r="M97" i="1"/>
  <c r="Y97" i="1" s="1"/>
  <c r="M742" i="1"/>
  <c r="Y742" i="1" s="1"/>
  <c r="M153" i="1"/>
  <c r="Y153" i="1" s="1"/>
  <c r="M193" i="1"/>
  <c r="Y193" i="1" s="1"/>
  <c r="O94" i="1"/>
  <c r="M473" i="1"/>
  <c r="Y473" i="1" s="1"/>
  <c r="M241" i="1"/>
  <c r="Y241" i="1" s="1"/>
  <c r="M176" i="1"/>
  <c r="Y176" i="1" s="1"/>
  <c r="M431" i="1"/>
  <c r="Y431" i="1" s="1"/>
  <c r="M257" i="1"/>
  <c r="Y257" i="1" s="1"/>
  <c r="M878" i="1"/>
  <c r="Y878" i="1" s="1"/>
  <c r="M560" i="1"/>
  <c r="Y560" i="1" s="1"/>
  <c r="M352" i="1"/>
  <c r="Y352" i="1" s="1"/>
  <c r="M238" i="1"/>
  <c r="Y238" i="1" s="1"/>
  <c r="M409" i="1"/>
  <c r="Y409" i="1" s="1"/>
  <c r="M377" i="1"/>
  <c r="Y377" i="1" s="1"/>
  <c r="M509" i="1"/>
  <c r="Y509" i="1" s="1"/>
  <c r="M578" i="1"/>
  <c r="Y578" i="1" s="1"/>
  <c r="M730" i="1"/>
  <c r="Y730" i="1" s="1"/>
  <c r="M687" i="1"/>
  <c r="Y687" i="1" s="1"/>
  <c r="M760" i="1"/>
  <c r="Y760" i="1" s="1"/>
  <c r="M647" i="1"/>
  <c r="Y647" i="1" s="1"/>
  <c r="M858" i="1"/>
  <c r="Y858" i="1" s="1"/>
  <c r="M625" i="1"/>
  <c r="Y625" i="1" s="1"/>
  <c r="M711" i="1"/>
  <c r="Y711" i="1" s="1"/>
  <c r="M670" i="1"/>
  <c r="Y670" i="1" s="1"/>
  <c r="M896" i="1"/>
  <c r="Y896" i="1" s="1"/>
  <c r="M977" i="1"/>
  <c r="Y977" i="1" s="1"/>
  <c r="M914" i="1"/>
  <c r="Y914" i="1" s="1"/>
  <c r="M976" i="1"/>
  <c r="Y976" i="1" s="1"/>
  <c r="M965" i="1"/>
  <c r="Y965" i="1" s="1"/>
  <c r="M162" i="1"/>
  <c r="Y162" i="1" s="1"/>
  <c r="M269" i="1"/>
  <c r="Y269" i="1" s="1"/>
  <c r="M464" i="1"/>
  <c r="Y464" i="1" s="1"/>
  <c r="M526" i="1"/>
  <c r="Y526" i="1" s="1"/>
  <c r="M282" i="1"/>
  <c r="Y282" i="1" s="1"/>
  <c r="M94" i="1"/>
  <c r="Y94" i="1" s="1"/>
  <c r="M181" i="1"/>
  <c r="Y181" i="1" s="1"/>
  <c r="M71" i="1"/>
  <c r="Y71" i="1" s="1"/>
  <c r="M413" i="1"/>
  <c r="Y413" i="1" s="1"/>
  <c r="M561" i="1"/>
  <c r="Y561" i="1" s="1"/>
  <c r="M981" i="1"/>
  <c r="Y981" i="1" s="1"/>
  <c r="M853" i="1"/>
  <c r="Y853" i="1" s="1"/>
  <c r="M894" i="1"/>
  <c r="Y894" i="1" s="1"/>
  <c r="M376" i="1"/>
  <c r="Y376" i="1" s="1"/>
  <c r="M403" i="1"/>
  <c r="Y403" i="1" s="1"/>
  <c r="M498" i="1"/>
  <c r="Y498" i="1" s="1"/>
  <c r="M395" i="1"/>
  <c r="Y395" i="1" s="1"/>
  <c r="M620" i="1"/>
  <c r="Y620" i="1" s="1"/>
  <c r="M771" i="1"/>
  <c r="Y771" i="1" s="1"/>
  <c r="M220" i="1"/>
  <c r="Y220" i="1" s="1"/>
  <c r="M142" i="1"/>
  <c r="Y142" i="1" s="1"/>
  <c r="M264" i="1"/>
  <c r="Y264" i="1" s="1"/>
  <c r="M442" i="1"/>
  <c r="Y442" i="1" s="1"/>
  <c r="M285" i="1"/>
  <c r="Y285" i="1" s="1"/>
  <c r="M380" i="1"/>
  <c r="Y380" i="1" s="1"/>
  <c r="M343" i="1"/>
  <c r="Y343" i="1" s="1"/>
  <c r="M441" i="1"/>
  <c r="Y441" i="1" s="1"/>
  <c r="M536" i="1"/>
  <c r="Y536" i="1" s="1"/>
  <c r="M318" i="1"/>
  <c r="Y318" i="1" s="1"/>
  <c r="M286" i="1"/>
  <c r="Y286" i="1" s="1"/>
  <c r="M946" i="1"/>
  <c r="Y946" i="1" s="1"/>
  <c r="M638" i="1"/>
  <c r="Y638" i="1" s="1"/>
  <c r="M740" i="1"/>
  <c r="Y740" i="1" s="1"/>
  <c r="M713" i="1"/>
  <c r="Y713" i="1" s="1"/>
  <c r="M755" i="1"/>
  <c r="Y755" i="1" s="1"/>
  <c r="M785" i="1"/>
  <c r="Y785" i="1" s="1"/>
  <c r="M800" i="1"/>
  <c r="Y800" i="1" s="1"/>
  <c r="M632" i="1"/>
  <c r="Y632" i="1" s="1"/>
  <c r="M677" i="1"/>
  <c r="Y677" i="1" s="1"/>
  <c r="M920" i="1"/>
  <c r="Y920" i="1" s="1"/>
  <c r="O41" i="1"/>
  <c r="O134" i="1"/>
  <c r="O70" i="1"/>
  <c r="M298" i="1"/>
  <c r="Y298" i="1" s="1"/>
  <c r="M359" i="1"/>
  <c r="Y359" i="1" s="1"/>
  <c r="M396" i="1"/>
  <c r="Y396" i="1" s="1"/>
  <c r="M453" i="1"/>
  <c r="Y453" i="1" s="1"/>
  <c r="M571" i="1"/>
  <c r="Y571" i="1" s="1"/>
  <c r="M252" i="1"/>
  <c r="Y252" i="1" s="1"/>
  <c r="M350" i="1"/>
  <c r="Y350" i="1" s="1"/>
  <c r="M448" i="1"/>
  <c r="Y448" i="1" s="1"/>
  <c r="M603" i="1"/>
  <c r="Y603" i="1" s="1"/>
  <c r="M480" i="1"/>
  <c r="Y480" i="1" s="1"/>
  <c r="M795" i="1"/>
  <c r="Y795" i="1" s="1"/>
  <c r="M838" i="1"/>
  <c r="Y838" i="1" s="1"/>
  <c r="M639" i="1"/>
  <c r="Y639" i="1" s="1"/>
  <c r="M743" i="1"/>
  <c r="Y743" i="1" s="1"/>
  <c r="M684" i="1"/>
  <c r="Y684" i="1" s="1"/>
  <c r="M903" i="1"/>
  <c r="Y903" i="1" s="1"/>
  <c r="M924" i="1"/>
  <c r="Y924" i="1" s="1"/>
  <c r="M429" i="1"/>
  <c r="Y429" i="1" s="1"/>
  <c r="O202" i="1"/>
  <c r="M203" i="1"/>
  <c r="Y203" i="1" s="1"/>
  <c r="M341" i="1"/>
  <c r="Y341" i="1" s="1"/>
  <c r="M456" i="1"/>
  <c r="Y456" i="1" s="1"/>
  <c r="M882" i="1"/>
  <c r="Y882" i="1" s="1"/>
  <c r="M454" i="1"/>
  <c r="Y454" i="1" s="1"/>
  <c r="M942" i="1"/>
  <c r="Y942" i="1" s="1"/>
  <c r="Q495" i="1"/>
  <c r="S495" i="1" s="1"/>
  <c r="W495" i="1" s="1"/>
  <c r="U495" i="1" s="1"/>
  <c r="Q378" i="1"/>
  <c r="S378" i="1" s="1"/>
  <c r="W378" i="1" s="1"/>
  <c r="U378" i="1" s="1"/>
  <c r="O48" i="1"/>
  <c r="Q278" i="1"/>
  <c r="S278" i="1" s="1"/>
  <c r="W278" i="1" s="1"/>
  <c r="U278" i="1" s="1"/>
  <c r="M190" i="1"/>
  <c r="Y190" i="1" s="1"/>
  <c r="M822" i="1"/>
  <c r="Y822" i="1" s="1"/>
  <c r="O128" i="1"/>
  <c r="K1019" i="1"/>
  <c r="O163" i="1"/>
  <c r="M79" i="1"/>
  <c r="Y79" i="1" s="1"/>
  <c r="M389" i="1"/>
  <c r="Y389" i="1" s="1"/>
  <c r="M68" i="1"/>
  <c r="Y68" i="1" s="1"/>
  <c r="M113" i="1"/>
  <c r="Y113" i="1" s="1"/>
  <c r="M268" i="1"/>
  <c r="Y268" i="1" s="1"/>
  <c r="M332" i="1"/>
  <c r="Y332" i="1" s="1"/>
  <c r="M430" i="1"/>
  <c r="Y430" i="1" s="1"/>
  <c r="M472" i="1"/>
  <c r="Y472" i="1" s="1"/>
  <c r="M833" i="1"/>
  <c r="Y833" i="1" s="1"/>
  <c r="M829" i="1"/>
  <c r="Y829" i="1" s="1"/>
  <c r="M973" i="1"/>
  <c r="Y973" i="1" s="1"/>
  <c r="M982" i="1"/>
  <c r="Y982" i="1" s="1"/>
  <c r="M313" i="1"/>
  <c r="Y313" i="1" s="1"/>
  <c r="O246" i="1"/>
  <c r="O52" i="1"/>
  <c r="M175" i="1"/>
  <c r="Y175" i="1" s="1"/>
  <c r="M323" i="1"/>
  <c r="Y323" i="1" s="1"/>
  <c r="M172" i="1"/>
  <c r="Y172" i="1" s="1"/>
  <c r="M75" i="1"/>
  <c r="Y75" i="1" s="1"/>
  <c r="M120" i="1"/>
  <c r="Y120" i="1" s="1"/>
  <c r="M222" i="1"/>
  <c r="Y222" i="1" s="1"/>
  <c r="M479" i="1"/>
  <c r="Y479" i="1" s="1"/>
  <c r="M494" i="1"/>
  <c r="Y494" i="1" s="1"/>
  <c r="M266" i="1"/>
  <c r="Y266" i="1" s="1"/>
  <c r="M577" i="1"/>
  <c r="Y577" i="1" s="1"/>
  <c r="M339" i="1"/>
  <c r="Y339" i="1" s="1"/>
  <c r="M475" i="1"/>
  <c r="Y475" i="1" s="1"/>
  <c r="M637" i="1"/>
  <c r="Y637" i="1" s="1"/>
  <c r="M474" i="1"/>
  <c r="Y474" i="1" s="1"/>
  <c r="M848" i="1"/>
  <c r="Y848" i="1" s="1"/>
  <c r="M895" i="1"/>
  <c r="Y895" i="1" s="1"/>
  <c r="M698" i="1"/>
  <c r="Y698" i="1" s="1"/>
  <c r="M835" i="1"/>
  <c r="Y835" i="1" s="1"/>
  <c r="M738" i="1"/>
  <c r="Y738" i="1" s="1"/>
  <c r="M836" i="1"/>
  <c r="Y836" i="1" s="1"/>
  <c r="M984" i="1"/>
  <c r="Y984" i="1" s="1"/>
  <c r="M180" i="1"/>
  <c r="Y180" i="1" s="1"/>
  <c r="O337" i="1"/>
  <c r="M52" i="1"/>
  <c r="Y52" i="1" s="1"/>
  <c r="M24" i="1"/>
  <c r="Y24" i="1" s="1"/>
  <c r="M115" i="1"/>
  <c r="Y115" i="1" s="1"/>
  <c r="M250" i="1"/>
  <c r="Y250" i="1" s="1"/>
  <c r="O83" i="1"/>
  <c r="M805" i="1"/>
  <c r="Y805" i="1" s="1"/>
  <c r="M736" i="1"/>
  <c r="Y736" i="1" s="1"/>
  <c r="M881" i="1"/>
  <c r="Y881" i="1" s="1"/>
  <c r="M819" i="1"/>
  <c r="Y819" i="1" s="1"/>
  <c r="M971" i="1"/>
  <c r="Y971" i="1" s="1"/>
  <c r="M995" i="1"/>
  <c r="Y995" i="1" s="1"/>
  <c r="M956" i="1"/>
  <c r="Y956" i="1" s="1"/>
  <c r="M296" i="1"/>
  <c r="Y296" i="1" s="1"/>
  <c r="M66" i="1"/>
  <c r="Y66" i="1" s="1"/>
  <c r="M621" i="1"/>
  <c r="Y621" i="1" s="1"/>
  <c r="O201" i="1"/>
  <c r="M76" i="1"/>
  <c r="Y76" i="1" s="1"/>
  <c r="M547" i="1"/>
  <c r="Y547" i="1" s="1"/>
  <c r="M225" i="1"/>
  <c r="Y225" i="1" s="1"/>
  <c r="M273" i="1"/>
  <c r="Y273" i="1" s="1"/>
  <c r="M606" i="1"/>
  <c r="Y606" i="1" s="1"/>
  <c r="M444" i="1"/>
  <c r="Y444" i="1" s="1"/>
  <c r="M481" i="1"/>
  <c r="Y481" i="1" s="1"/>
  <c r="M675" i="1"/>
  <c r="Y675" i="1" s="1"/>
  <c r="M839" i="1"/>
  <c r="Y839" i="1" s="1"/>
  <c r="M1012" i="1"/>
  <c r="Y1012" i="1" s="1"/>
  <c r="M306" i="1"/>
  <c r="Y306" i="1" s="1"/>
  <c r="M84" i="1"/>
  <c r="Y84" i="1" s="1"/>
  <c r="M148" i="1"/>
  <c r="Y148" i="1" s="1"/>
  <c r="M515" i="1"/>
  <c r="Y515" i="1" s="1"/>
  <c r="M645" i="1"/>
  <c r="Y645" i="1" s="1"/>
  <c r="M523" i="1"/>
  <c r="Y523" i="1" s="1"/>
  <c r="M338" i="1"/>
  <c r="Y338" i="1" s="1"/>
  <c r="M614" i="1"/>
  <c r="Y614" i="1" s="1"/>
  <c r="M451" i="1"/>
  <c r="Y451" i="1" s="1"/>
  <c r="M488" i="1"/>
  <c r="Y488" i="1" s="1"/>
  <c r="M721" i="1"/>
  <c r="Y721" i="1" s="1"/>
  <c r="M529" i="1"/>
  <c r="Y529" i="1" s="1"/>
  <c r="M680" i="1"/>
  <c r="Y680" i="1" s="1"/>
  <c r="M658" i="1"/>
  <c r="Y658" i="1" s="1"/>
  <c r="M574" i="1"/>
  <c r="Y574" i="1" s="1"/>
  <c r="M700" i="1"/>
  <c r="Y700" i="1" s="1"/>
  <c r="M667" i="1"/>
  <c r="Y667" i="1" s="1"/>
  <c r="M811" i="1"/>
  <c r="Y811" i="1" s="1"/>
  <c r="M761" i="1"/>
  <c r="Y761" i="1" s="1"/>
  <c r="M886" i="1"/>
  <c r="Y886" i="1" s="1"/>
  <c r="M859" i="1"/>
  <c r="Y859" i="1" s="1"/>
  <c r="M1006" i="1"/>
  <c r="Y1006" i="1" s="1"/>
  <c r="M967" i="1"/>
  <c r="Y967" i="1" s="1"/>
  <c r="M905" i="1"/>
  <c r="Y905" i="1" s="1"/>
  <c r="Q204" i="1"/>
  <c r="S204" i="1" s="1"/>
  <c r="W204" i="1" s="1"/>
  <c r="U204" i="1" s="1"/>
  <c r="O448" i="1"/>
  <c r="O299" i="1"/>
  <c r="O362" i="1"/>
  <c r="M41" i="1"/>
  <c r="Y41" i="1" s="1"/>
  <c r="M169" i="1"/>
  <c r="Y169" i="1" s="1"/>
  <c r="M1017" i="1"/>
  <c r="Y1017" i="1" s="1"/>
  <c r="M757" i="1"/>
  <c r="Y757" i="1" s="1"/>
  <c r="M249" i="1"/>
  <c r="Y249" i="1" s="1"/>
  <c r="M469" i="1"/>
  <c r="Y469" i="1" s="1"/>
  <c r="M492" i="1"/>
  <c r="Y492" i="1" s="1"/>
  <c r="M696" i="1"/>
  <c r="Y696" i="1" s="1"/>
  <c r="M69" i="1"/>
  <c r="Y69" i="1" s="1"/>
  <c r="M22" i="1"/>
  <c r="Y22" i="1" s="1"/>
  <c r="M589" i="1"/>
  <c r="Y589" i="1" s="1"/>
  <c r="M502" i="1"/>
  <c r="Y502" i="1" s="1"/>
  <c r="M438" i="1"/>
  <c r="Y438" i="1" s="1"/>
  <c r="M375" i="1"/>
  <c r="Y375" i="1" s="1"/>
  <c r="M617" i="1"/>
  <c r="Y617" i="1" s="1"/>
  <c r="M360" i="1"/>
  <c r="Y360" i="1" s="1"/>
  <c r="M478" i="1"/>
  <c r="Y478" i="1" s="1"/>
  <c r="M328" i="1"/>
  <c r="Y328" i="1" s="1"/>
  <c r="M514" i="1"/>
  <c r="Y514" i="1" s="1"/>
  <c r="M852" i="1"/>
  <c r="Y852" i="1" s="1"/>
  <c r="M496" i="1"/>
  <c r="Y496" i="1" s="1"/>
  <c r="M728" i="1"/>
  <c r="Y728" i="1" s="1"/>
  <c r="M581" i="1"/>
  <c r="Y581" i="1" s="1"/>
  <c r="M704" i="1"/>
  <c r="Y704" i="1" s="1"/>
  <c r="M674" i="1"/>
  <c r="Y674" i="1" s="1"/>
  <c r="M817" i="1"/>
  <c r="Y817" i="1" s="1"/>
  <c r="O111" i="1"/>
  <c r="M48" i="1"/>
  <c r="Y48" i="1" s="1"/>
  <c r="M61" i="1"/>
  <c r="Y61" i="1" s="1"/>
  <c r="M776" i="1"/>
  <c r="Y776" i="1" s="1"/>
  <c r="M567" i="1"/>
  <c r="Y567" i="1" s="1"/>
  <c r="M186" i="1"/>
  <c r="Y186" i="1" s="1"/>
  <c r="M29" i="1"/>
  <c r="Y29" i="1" s="1"/>
  <c r="M387" i="1"/>
  <c r="Y387" i="1" s="1"/>
  <c r="M449" i="1"/>
  <c r="Y449" i="1" s="1"/>
  <c r="M443" i="1"/>
  <c r="Y443" i="1" s="1"/>
  <c r="M295" i="1"/>
  <c r="Y295" i="1" s="1"/>
  <c r="M294" i="1"/>
  <c r="Y294" i="1" s="1"/>
  <c r="M392" i="1"/>
  <c r="Y392" i="1" s="1"/>
  <c r="M335" i="1"/>
  <c r="Y335" i="1" s="1"/>
  <c r="M433" i="1"/>
  <c r="Y433" i="1" s="1"/>
  <c r="M522" i="1"/>
  <c r="Y522" i="1" s="1"/>
  <c r="M799" i="1"/>
  <c r="Y799" i="1" s="1"/>
  <c r="M925" i="1"/>
  <c r="Y925" i="1" s="1"/>
  <c r="M588" i="1"/>
  <c r="Y588" i="1" s="1"/>
  <c r="M911" i="1"/>
  <c r="Y911" i="1" s="1"/>
  <c r="M790" i="1"/>
  <c r="Y790" i="1" s="1"/>
  <c r="M826" i="1"/>
  <c r="Y826" i="1" s="1"/>
  <c r="M884" i="1"/>
  <c r="Y884" i="1" s="1"/>
  <c r="O369" i="1"/>
  <c r="O675" i="1"/>
  <c r="O273" i="1"/>
  <c r="M30" i="1"/>
  <c r="Y30" i="1" s="1"/>
  <c r="M128" i="1"/>
  <c r="Y128" i="1" s="1"/>
  <c r="M564" i="1"/>
  <c r="Y564" i="1" s="1"/>
  <c r="O178" i="1"/>
  <c r="O347" i="1"/>
  <c r="O63" i="1"/>
  <c r="M317" i="1"/>
  <c r="Y317" i="1" s="1"/>
  <c r="M81" i="1"/>
  <c r="Y81" i="1" s="1"/>
  <c r="M501" i="1"/>
  <c r="Y501" i="1" s="1"/>
  <c r="M337" i="1"/>
  <c r="Y337" i="1" s="1"/>
  <c r="M187" i="1"/>
  <c r="Y187" i="1" s="1"/>
  <c r="M333" i="1"/>
  <c r="Y333" i="1" s="1"/>
  <c r="M90" i="1"/>
  <c r="Y90" i="1" s="1"/>
  <c r="M590" i="1"/>
  <c r="Y590" i="1" s="1"/>
  <c r="M476" i="1"/>
  <c r="Y476" i="1" s="1"/>
  <c r="M301" i="1"/>
  <c r="Y301" i="1" s="1"/>
  <c r="M399" i="1"/>
  <c r="Y399" i="1" s="1"/>
  <c r="M733" i="1"/>
  <c r="Y733" i="1" s="1"/>
  <c r="M342" i="1"/>
  <c r="Y342" i="1" s="1"/>
  <c r="M440" i="1"/>
  <c r="Y440" i="1" s="1"/>
  <c r="M527" i="1"/>
  <c r="Y527" i="1" s="1"/>
  <c r="M511" i="1"/>
  <c r="Y511" i="1" s="1"/>
  <c r="M539" i="1"/>
  <c r="Y539" i="1" s="1"/>
  <c r="M635" i="1"/>
  <c r="Y635" i="1" s="1"/>
  <c r="M809" i="1"/>
  <c r="Y809" i="1" s="1"/>
  <c r="M828" i="1"/>
  <c r="Y828" i="1" s="1"/>
  <c r="O329" i="1"/>
  <c r="M699" i="1"/>
  <c r="Y699" i="1" s="1"/>
  <c r="M562" i="1"/>
  <c r="Y562" i="1" s="1"/>
  <c r="M662" i="1"/>
  <c r="Y662" i="1" s="1"/>
  <c r="O98" i="1"/>
  <c r="O221" i="1"/>
  <c r="O100" i="1"/>
  <c r="M255" i="1"/>
  <c r="Y255" i="1" s="1"/>
  <c r="M246" i="1"/>
  <c r="Y246" i="1" s="1"/>
  <c r="M150" i="1"/>
  <c r="Y150" i="1" s="1"/>
  <c r="M65" i="1"/>
  <c r="Y65" i="1" s="1"/>
  <c r="M856" i="1"/>
  <c r="Y856" i="1" s="1"/>
  <c r="M67" i="1"/>
  <c r="Y67" i="1" s="1"/>
  <c r="M369" i="1"/>
  <c r="Y369" i="1" s="1"/>
  <c r="M507" i="1"/>
  <c r="Y507" i="1" s="1"/>
  <c r="M308" i="1"/>
  <c r="Y308" i="1" s="1"/>
  <c r="M406" i="1"/>
  <c r="Y406" i="1" s="1"/>
  <c r="M893" i="1"/>
  <c r="Y893" i="1" s="1"/>
  <c r="M553" i="1"/>
  <c r="Y553" i="1" s="1"/>
  <c r="M840" i="1"/>
  <c r="Y840" i="1" s="1"/>
  <c r="M613" i="1"/>
  <c r="Y613" i="1" s="1"/>
  <c r="M542" i="1"/>
  <c r="Y542" i="1" s="1"/>
  <c r="M985" i="1"/>
  <c r="Y985" i="1" s="1"/>
  <c r="M727" i="1"/>
  <c r="Y727" i="1" s="1"/>
  <c r="M695" i="1"/>
  <c r="Y695" i="1" s="1"/>
  <c r="M959" i="1"/>
  <c r="Y959" i="1" s="1"/>
  <c r="M877" i="1"/>
  <c r="Y877" i="1" s="1"/>
  <c r="M851" i="1"/>
  <c r="Y851" i="1" s="1"/>
  <c r="M921" i="1"/>
  <c r="Y921" i="1" s="1"/>
  <c r="M135" i="1"/>
  <c r="Y135" i="1" s="1"/>
  <c r="M145" i="1"/>
  <c r="Y145" i="1" s="1"/>
  <c r="M87" i="1"/>
  <c r="Y87" i="1" s="1"/>
  <c r="M104" i="1"/>
  <c r="Y104" i="1" s="1"/>
  <c r="M394" i="1"/>
  <c r="Y394" i="1" s="1"/>
  <c r="M70" i="1"/>
  <c r="Y70" i="1" s="1"/>
  <c r="M276" i="1"/>
  <c r="Y276" i="1" s="1"/>
  <c r="Q314" i="1"/>
  <c r="S314" i="1" s="1"/>
  <c r="W314" i="1" s="1"/>
  <c r="U314" i="1" s="1"/>
  <c r="O314" i="1"/>
  <c r="M879" i="1"/>
  <c r="Y879" i="1" s="1"/>
  <c r="Q309" i="1"/>
  <c r="S309" i="1" s="1"/>
  <c r="W309" i="1" s="1"/>
  <c r="U309" i="1" s="1"/>
  <c r="O309" i="1"/>
  <c r="Q20" i="1"/>
  <c r="S20" i="1" s="1"/>
  <c r="W20" i="1" s="1"/>
  <c r="U20" i="1" s="1"/>
  <c r="O20" i="1"/>
  <c r="Q465" i="1"/>
  <c r="S465" i="1" s="1"/>
  <c r="W465" i="1" s="1"/>
  <c r="U465" i="1" s="1"/>
  <c r="O465" i="1"/>
  <c r="O96" i="1"/>
  <c r="Q96" i="1"/>
  <c r="S96" i="1" s="1"/>
  <c r="W96" i="1" s="1"/>
  <c r="U96" i="1" s="1"/>
  <c r="O327" i="1"/>
  <c r="Q327" i="1"/>
  <c r="S327" i="1" s="1"/>
  <c r="W327" i="1" s="1"/>
  <c r="U327" i="1" s="1"/>
  <c r="Q349" i="1"/>
  <c r="S349" i="1" s="1"/>
  <c r="W349" i="1" s="1"/>
  <c r="U349" i="1" s="1"/>
  <c r="O349" i="1"/>
  <c r="Q71" i="1"/>
  <c r="S71" i="1" s="1"/>
  <c r="W71" i="1" s="1"/>
  <c r="U71" i="1" s="1"/>
  <c r="O71" i="1"/>
  <c r="Q185" i="1"/>
  <c r="S185" i="1" s="1"/>
  <c r="W185" i="1" s="1"/>
  <c r="U185" i="1" s="1"/>
  <c r="O185" i="1"/>
  <c r="Q319" i="1"/>
  <c r="S319" i="1" s="1"/>
  <c r="W319" i="1" s="1"/>
  <c r="U319" i="1" s="1"/>
  <c r="O319" i="1"/>
  <c r="O173" i="1"/>
  <c r="Q173" i="1"/>
  <c r="S173" i="1" s="1"/>
  <c r="W173" i="1" s="1"/>
  <c r="U173" i="1" s="1"/>
  <c r="O387" i="1"/>
  <c r="Q387" i="1"/>
  <c r="S387" i="1" s="1"/>
  <c r="W387" i="1" s="1"/>
  <c r="U387" i="1" s="1"/>
  <c r="Q81" i="1"/>
  <c r="S81" i="1" s="1"/>
  <c r="W81" i="1" s="1"/>
  <c r="U81" i="1" s="1"/>
  <c r="O81" i="1"/>
  <c r="Q308" i="1"/>
  <c r="S308" i="1" s="1"/>
  <c r="W308" i="1" s="1"/>
  <c r="U308" i="1" s="1"/>
  <c r="O308" i="1"/>
  <c r="O548" i="1"/>
  <c r="Q548" i="1"/>
  <c r="S548" i="1" s="1"/>
  <c r="W548" i="1" s="1"/>
  <c r="U548" i="1" s="1"/>
  <c r="I235" i="1"/>
  <c r="Q236" i="1"/>
  <c r="O236" i="1"/>
  <c r="O289" i="1"/>
  <c r="Q289" i="1"/>
  <c r="S289" i="1" s="1"/>
  <c r="W289" i="1" s="1"/>
  <c r="U289" i="1" s="1"/>
  <c r="Q531" i="1"/>
  <c r="S531" i="1" s="1"/>
  <c r="W531" i="1" s="1"/>
  <c r="U531" i="1" s="1"/>
  <c r="O531" i="1"/>
  <c r="Q517" i="1"/>
  <c r="S517" i="1" s="1"/>
  <c r="W517" i="1" s="1"/>
  <c r="U517" i="1" s="1"/>
  <c r="O517" i="1"/>
  <c r="Q664" i="1"/>
  <c r="S664" i="1" s="1"/>
  <c r="W664" i="1" s="1"/>
  <c r="U664" i="1" s="1"/>
  <c r="O664" i="1"/>
  <c r="Q393" i="1"/>
  <c r="S393" i="1" s="1"/>
  <c r="W393" i="1" s="1"/>
  <c r="U393" i="1" s="1"/>
  <c r="O393" i="1"/>
  <c r="O485" i="1"/>
  <c r="Q485" i="1"/>
  <c r="S485" i="1" s="1"/>
  <c r="W485" i="1" s="1"/>
  <c r="U485" i="1" s="1"/>
  <c r="Q325" i="1"/>
  <c r="S325" i="1" s="1"/>
  <c r="W325" i="1" s="1"/>
  <c r="U325" i="1" s="1"/>
  <c r="O325" i="1"/>
  <c r="Q423" i="1"/>
  <c r="S423" i="1" s="1"/>
  <c r="W423" i="1" s="1"/>
  <c r="U423" i="1" s="1"/>
  <c r="O423" i="1"/>
  <c r="Q460" i="1"/>
  <c r="S460" i="1" s="1"/>
  <c r="W460" i="1" s="1"/>
  <c r="U460" i="1" s="1"/>
  <c r="O460" i="1"/>
  <c r="Q523" i="1"/>
  <c r="S523" i="1" s="1"/>
  <c r="W523" i="1" s="1"/>
  <c r="U523" i="1" s="1"/>
  <c r="O523" i="1"/>
  <c r="Q712" i="1"/>
  <c r="S712" i="1" s="1"/>
  <c r="W712" i="1" s="1"/>
  <c r="U712" i="1" s="1"/>
  <c r="O712" i="1"/>
  <c r="Q484" i="1"/>
  <c r="S484" i="1" s="1"/>
  <c r="W484" i="1" s="1"/>
  <c r="U484" i="1" s="1"/>
  <c r="O484" i="1"/>
  <c r="Q730" i="1"/>
  <c r="S730" i="1" s="1"/>
  <c r="W730" i="1" s="1"/>
  <c r="U730" i="1" s="1"/>
  <c r="O730" i="1"/>
  <c r="O592" i="1"/>
  <c r="Q592" i="1"/>
  <c r="S592" i="1" s="1"/>
  <c r="W592" i="1" s="1"/>
  <c r="U592" i="1" s="1"/>
  <c r="O660" i="1"/>
  <c r="Q660" i="1"/>
  <c r="S660" i="1" s="1"/>
  <c r="W660" i="1" s="1"/>
  <c r="U660" i="1" s="1"/>
  <c r="Q985" i="1"/>
  <c r="S985" i="1" s="1"/>
  <c r="W985" i="1" s="1"/>
  <c r="U985" i="1" s="1"/>
  <c r="O985" i="1"/>
  <c r="O725" i="1"/>
  <c r="Q725" i="1"/>
  <c r="S725" i="1" s="1"/>
  <c r="W725" i="1" s="1"/>
  <c r="U725" i="1" s="1"/>
  <c r="Q964" i="1"/>
  <c r="S964" i="1" s="1"/>
  <c r="W964" i="1" s="1"/>
  <c r="U964" i="1" s="1"/>
  <c r="O964" i="1"/>
  <c r="O595" i="1"/>
  <c r="Q595" i="1"/>
  <c r="S595" i="1" s="1"/>
  <c r="W595" i="1" s="1"/>
  <c r="U595" i="1" s="1"/>
  <c r="O729" i="1"/>
  <c r="Q729" i="1"/>
  <c r="S729" i="1" s="1"/>
  <c r="W729" i="1" s="1"/>
  <c r="U729" i="1" s="1"/>
  <c r="Q888" i="1"/>
  <c r="S888" i="1" s="1"/>
  <c r="W888" i="1" s="1"/>
  <c r="U888" i="1" s="1"/>
  <c r="O888" i="1"/>
  <c r="Q665" i="1"/>
  <c r="S665" i="1" s="1"/>
  <c r="W665" i="1" s="1"/>
  <c r="U665" i="1" s="1"/>
  <c r="O665" i="1"/>
  <c r="O714" i="1"/>
  <c r="Q714" i="1"/>
  <c r="S714" i="1" s="1"/>
  <c r="W714" i="1" s="1"/>
  <c r="U714" i="1" s="1"/>
  <c r="O698" i="1"/>
  <c r="Q698" i="1"/>
  <c r="S698" i="1" s="1"/>
  <c r="W698" i="1" s="1"/>
  <c r="U698" i="1" s="1"/>
  <c r="O652" i="1"/>
  <c r="Q652" i="1"/>
  <c r="S652" i="1" s="1"/>
  <c r="W652" i="1" s="1"/>
  <c r="U652" i="1" s="1"/>
  <c r="O826" i="1"/>
  <c r="Q826" i="1"/>
  <c r="S826" i="1" s="1"/>
  <c r="W826" i="1" s="1"/>
  <c r="U826" i="1" s="1"/>
  <c r="Q927" i="1"/>
  <c r="S927" i="1" s="1"/>
  <c r="W927" i="1" s="1"/>
  <c r="U927" i="1" s="1"/>
  <c r="O927" i="1"/>
  <c r="Q884" i="1"/>
  <c r="S884" i="1" s="1"/>
  <c r="W884" i="1" s="1"/>
  <c r="U884" i="1" s="1"/>
  <c r="O884" i="1"/>
  <c r="Q724" i="1"/>
  <c r="S724" i="1" s="1"/>
  <c r="W724" i="1" s="1"/>
  <c r="U724" i="1" s="1"/>
  <c r="O724" i="1"/>
  <c r="Q822" i="1"/>
  <c r="S822" i="1" s="1"/>
  <c r="W822" i="1" s="1"/>
  <c r="U822" i="1" s="1"/>
  <c r="O822" i="1"/>
  <c r="Q983" i="1"/>
  <c r="S983" i="1" s="1"/>
  <c r="W983" i="1" s="1"/>
  <c r="U983" i="1" s="1"/>
  <c r="O983" i="1"/>
  <c r="Q825" i="1"/>
  <c r="S825" i="1" s="1"/>
  <c r="W825" i="1" s="1"/>
  <c r="U825" i="1" s="1"/>
  <c r="O825" i="1"/>
  <c r="Q959" i="1"/>
  <c r="S959" i="1" s="1"/>
  <c r="W959" i="1" s="1"/>
  <c r="U959" i="1" s="1"/>
  <c r="O959" i="1"/>
  <c r="Q984" i="1"/>
  <c r="S984" i="1" s="1"/>
  <c r="W984" i="1" s="1"/>
  <c r="U984" i="1" s="1"/>
  <c r="O984" i="1"/>
  <c r="Q928" i="1"/>
  <c r="S928" i="1" s="1"/>
  <c r="W928" i="1" s="1"/>
  <c r="U928" i="1" s="1"/>
  <c r="O928" i="1"/>
  <c r="O930" i="1"/>
  <c r="Q930" i="1"/>
  <c r="S930" i="1" s="1"/>
  <c r="W930" i="1" s="1"/>
  <c r="U930" i="1" s="1"/>
  <c r="Q919" i="1"/>
  <c r="S919" i="1" s="1"/>
  <c r="W919" i="1" s="1"/>
  <c r="U919" i="1" s="1"/>
  <c r="O919" i="1"/>
  <c r="Q159" i="1"/>
  <c r="S159" i="1" s="1"/>
  <c r="W159" i="1" s="1"/>
  <c r="U159" i="1" s="1"/>
  <c r="O159" i="1"/>
  <c r="M55" i="1"/>
  <c r="Y55" i="1" s="1"/>
  <c r="K209" i="1"/>
  <c r="M1015" i="1"/>
  <c r="Y1015" i="1" s="1"/>
  <c r="Q255" i="1"/>
  <c r="S255" i="1" s="1"/>
  <c r="W255" i="1" s="1"/>
  <c r="U255" i="1" s="1"/>
  <c r="O255" i="1"/>
  <c r="Q28" i="1"/>
  <c r="S28" i="1" s="1"/>
  <c r="W28" i="1" s="1"/>
  <c r="U28" i="1" s="1"/>
  <c r="O28" i="1"/>
  <c r="Q69" i="1"/>
  <c r="S69" i="1" s="1"/>
  <c r="W69" i="1" s="1"/>
  <c r="U69" i="1" s="1"/>
  <c r="O69" i="1"/>
  <c r="Q220" i="1"/>
  <c r="S220" i="1" s="1"/>
  <c r="W220" i="1" s="1"/>
  <c r="U220" i="1" s="1"/>
  <c r="O220" i="1"/>
  <c r="Q600" i="1"/>
  <c r="S600" i="1" s="1"/>
  <c r="W600" i="1" s="1"/>
  <c r="U600" i="1" s="1"/>
  <c r="O600" i="1"/>
  <c r="Q274" i="1"/>
  <c r="S274" i="1" s="1"/>
  <c r="W274" i="1" s="1"/>
  <c r="U274" i="1" s="1"/>
  <c r="O274" i="1"/>
  <c r="Q376" i="1"/>
  <c r="S376" i="1" s="1"/>
  <c r="W376" i="1" s="1"/>
  <c r="U376" i="1" s="1"/>
  <c r="O376" i="1"/>
  <c r="Q614" i="1"/>
  <c r="S614" i="1" s="1"/>
  <c r="W614" i="1" s="1"/>
  <c r="U614" i="1" s="1"/>
  <c r="O614" i="1"/>
  <c r="Q301" i="1"/>
  <c r="S301" i="1" s="1"/>
  <c r="W301" i="1" s="1"/>
  <c r="U301" i="1" s="1"/>
  <c r="O301" i="1"/>
  <c r="M101" i="1"/>
  <c r="Y101" i="1" s="1"/>
  <c r="Q135" i="1"/>
  <c r="S135" i="1" s="1"/>
  <c r="W135" i="1" s="1"/>
  <c r="U135" i="1" s="1"/>
  <c r="O135" i="1"/>
  <c r="M85" i="1"/>
  <c r="Y85" i="1" s="1"/>
  <c r="M188" i="1"/>
  <c r="Y188" i="1" s="1"/>
  <c r="M497" i="1"/>
  <c r="Y497" i="1" s="1"/>
  <c r="M348" i="1"/>
  <c r="Y348" i="1" s="1"/>
  <c r="M329" i="1"/>
  <c r="Y329" i="1" s="1"/>
  <c r="M427" i="1"/>
  <c r="Y427" i="1" s="1"/>
  <c r="M820" i="1"/>
  <c r="Y820" i="1" s="1"/>
  <c r="M599" i="1"/>
  <c r="Y599" i="1" s="1"/>
  <c r="M540" i="1"/>
  <c r="Y540" i="1" s="1"/>
  <c r="M694" i="1"/>
  <c r="Y694" i="1" s="1"/>
  <c r="M654" i="1"/>
  <c r="Y654" i="1" s="1"/>
  <c r="M685" i="1"/>
  <c r="Y685" i="1" s="1"/>
  <c r="M716" i="1"/>
  <c r="Y716" i="1" s="1"/>
  <c r="M551" i="1"/>
  <c r="Y551" i="1" s="1"/>
  <c r="M789" i="1"/>
  <c r="Y789" i="1" s="1"/>
  <c r="M618" i="1"/>
  <c r="Y618" i="1" s="1"/>
  <c r="M777" i="1"/>
  <c r="Y777" i="1" s="1"/>
  <c r="M1001" i="1"/>
  <c r="Y1001" i="1" s="1"/>
  <c r="M954" i="1"/>
  <c r="Y954" i="1" s="1"/>
  <c r="Q240" i="1"/>
  <c r="S240" i="1" s="1"/>
  <c r="W240" i="1" s="1"/>
  <c r="U240" i="1" s="1"/>
  <c r="O240" i="1"/>
  <c r="Q946" i="1"/>
  <c r="S946" i="1" s="1"/>
  <c r="W946" i="1" s="1"/>
  <c r="U946" i="1" s="1"/>
  <c r="O946" i="1"/>
  <c r="Q492" i="1"/>
  <c r="S492" i="1" s="1"/>
  <c r="W492" i="1" s="1"/>
  <c r="U492" i="1" s="1"/>
  <c r="O492" i="1"/>
  <c r="O103" i="1"/>
  <c r="Q103" i="1"/>
  <c r="S103" i="1" s="1"/>
  <c r="W103" i="1" s="1"/>
  <c r="U103" i="1" s="1"/>
  <c r="Q343" i="1"/>
  <c r="S343" i="1" s="1"/>
  <c r="W343" i="1" s="1"/>
  <c r="U343" i="1" s="1"/>
  <c r="O343" i="1"/>
  <c r="O352" i="1"/>
  <c r="Q352" i="1"/>
  <c r="S352" i="1" s="1"/>
  <c r="W352" i="1" s="1"/>
  <c r="U352" i="1" s="1"/>
  <c r="Q78" i="1"/>
  <c r="S78" i="1" s="1"/>
  <c r="W78" i="1" s="1"/>
  <c r="U78" i="1" s="1"/>
  <c r="O78" i="1"/>
  <c r="Q188" i="1"/>
  <c r="S188" i="1" s="1"/>
  <c r="W188" i="1" s="1"/>
  <c r="U188" i="1" s="1"/>
  <c r="O188" i="1"/>
  <c r="Q341" i="1"/>
  <c r="S341" i="1" s="1"/>
  <c r="W341" i="1" s="1"/>
  <c r="U341" i="1" s="1"/>
  <c r="O341" i="1"/>
  <c r="O176" i="1"/>
  <c r="Q176" i="1"/>
  <c r="S176" i="1" s="1"/>
  <c r="W176" i="1" s="1"/>
  <c r="U176" i="1" s="1"/>
  <c r="Q403" i="1"/>
  <c r="S403" i="1" s="1"/>
  <c r="W403" i="1" s="1"/>
  <c r="U403" i="1" s="1"/>
  <c r="O403" i="1"/>
  <c r="Q88" i="1"/>
  <c r="S88" i="1" s="1"/>
  <c r="W88" i="1" s="1"/>
  <c r="U88" i="1" s="1"/>
  <c r="O88" i="1"/>
  <c r="O317" i="1"/>
  <c r="Q317" i="1"/>
  <c r="S317" i="1" s="1"/>
  <c r="W317" i="1" s="1"/>
  <c r="U317" i="1" s="1"/>
  <c r="Q575" i="1"/>
  <c r="S575" i="1" s="1"/>
  <c r="W575" i="1" s="1"/>
  <c r="U575" i="1" s="1"/>
  <c r="O575" i="1"/>
  <c r="Q239" i="1"/>
  <c r="S239" i="1" s="1"/>
  <c r="W239" i="1" s="1"/>
  <c r="U239" i="1" s="1"/>
  <c r="O239" i="1"/>
  <c r="Q322" i="1"/>
  <c r="S322" i="1" s="1"/>
  <c r="W322" i="1" s="1"/>
  <c r="U322" i="1" s="1"/>
  <c r="O322" i="1"/>
  <c r="O571" i="1"/>
  <c r="Q571" i="1"/>
  <c r="S571" i="1" s="1"/>
  <c r="W571" i="1" s="1"/>
  <c r="U571" i="1" s="1"/>
  <c r="Q528" i="1"/>
  <c r="S528" i="1" s="1"/>
  <c r="W528" i="1" s="1"/>
  <c r="U528" i="1" s="1"/>
  <c r="O528" i="1"/>
  <c r="Q737" i="1"/>
  <c r="S737" i="1" s="1"/>
  <c r="W737" i="1" s="1"/>
  <c r="U737" i="1" s="1"/>
  <c r="O737" i="1"/>
  <c r="O404" i="1"/>
  <c r="Q404" i="1"/>
  <c r="S404" i="1" s="1"/>
  <c r="W404" i="1" s="1"/>
  <c r="U404" i="1" s="1"/>
  <c r="Q498" i="1"/>
  <c r="S498" i="1" s="1"/>
  <c r="W498" i="1" s="1"/>
  <c r="U498" i="1" s="1"/>
  <c r="O498" i="1"/>
  <c r="Q332" i="1"/>
  <c r="S332" i="1" s="1"/>
  <c r="W332" i="1" s="1"/>
  <c r="U332" i="1" s="1"/>
  <c r="O332" i="1"/>
  <c r="Q430" i="1"/>
  <c r="S430" i="1" s="1"/>
  <c r="W430" i="1" s="1"/>
  <c r="U430" i="1" s="1"/>
  <c r="O430" i="1"/>
  <c r="Q472" i="1"/>
  <c r="S472" i="1" s="1"/>
  <c r="W472" i="1" s="1"/>
  <c r="U472" i="1" s="1"/>
  <c r="O472" i="1"/>
  <c r="Q377" i="1"/>
  <c r="S377" i="1" s="1"/>
  <c r="W377" i="1" s="1"/>
  <c r="U377" i="1" s="1"/>
  <c r="O377" i="1"/>
  <c r="Q489" i="1"/>
  <c r="S489" i="1" s="1"/>
  <c r="W489" i="1" s="1"/>
  <c r="U489" i="1" s="1"/>
  <c r="O489" i="1"/>
  <c r="Q557" i="1"/>
  <c r="S557" i="1" s="1"/>
  <c r="W557" i="1" s="1"/>
  <c r="U557" i="1" s="1"/>
  <c r="O557" i="1"/>
  <c r="Q753" i="1"/>
  <c r="S753" i="1" s="1"/>
  <c r="W753" i="1" s="1"/>
  <c r="U753" i="1" s="1"/>
  <c r="O753" i="1"/>
  <c r="Q491" i="1"/>
  <c r="S491" i="1" s="1"/>
  <c r="W491" i="1" s="1"/>
  <c r="U491" i="1" s="1"/>
  <c r="O491" i="1"/>
  <c r="Q709" i="1"/>
  <c r="S709" i="1" s="1"/>
  <c r="W709" i="1" s="1"/>
  <c r="U709" i="1" s="1"/>
  <c r="O709" i="1"/>
  <c r="O735" i="1"/>
  <c r="Q735" i="1"/>
  <c r="S735" i="1" s="1"/>
  <c r="W735" i="1" s="1"/>
  <c r="U735" i="1" s="1"/>
  <c r="Q617" i="1"/>
  <c r="S617" i="1" s="1"/>
  <c r="W617" i="1" s="1"/>
  <c r="U617" i="1" s="1"/>
  <c r="O617" i="1"/>
  <c r="Q683" i="1"/>
  <c r="S683" i="1" s="1"/>
  <c r="W683" i="1" s="1"/>
  <c r="U683" i="1" s="1"/>
  <c r="O683" i="1"/>
  <c r="Q998" i="1"/>
  <c r="S998" i="1" s="1"/>
  <c r="W998" i="1" s="1"/>
  <c r="U998" i="1" s="1"/>
  <c r="O998" i="1"/>
  <c r="Q802" i="1"/>
  <c r="S802" i="1" s="1"/>
  <c r="W802" i="1" s="1"/>
  <c r="U802" i="1" s="1"/>
  <c r="O802" i="1"/>
  <c r="Q976" i="1"/>
  <c r="S976" i="1" s="1"/>
  <c r="W976" i="1" s="1"/>
  <c r="U976" i="1" s="1"/>
  <c r="O976" i="1"/>
  <c r="Q602" i="1"/>
  <c r="S602" i="1" s="1"/>
  <c r="W602" i="1" s="1"/>
  <c r="U602" i="1" s="1"/>
  <c r="O602" i="1"/>
  <c r="Q744" i="1"/>
  <c r="S744" i="1" s="1"/>
  <c r="W744" i="1" s="1"/>
  <c r="U744" i="1" s="1"/>
  <c r="O744" i="1"/>
  <c r="O960" i="1"/>
  <c r="Q960" i="1"/>
  <c r="S960" i="1" s="1"/>
  <c r="W960" i="1" s="1"/>
  <c r="U960" i="1" s="1"/>
  <c r="Q669" i="1"/>
  <c r="S669" i="1" s="1"/>
  <c r="W669" i="1" s="1"/>
  <c r="U669" i="1" s="1"/>
  <c r="O669" i="1"/>
  <c r="Q743" i="1"/>
  <c r="S743" i="1" s="1"/>
  <c r="W743" i="1" s="1"/>
  <c r="U743" i="1" s="1"/>
  <c r="O743" i="1"/>
  <c r="Q736" i="1"/>
  <c r="S736" i="1" s="1"/>
  <c r="W736" i="1" s="1"/>
  <c r="U736" i="1" s="1"/>
  <c r="O736" i="1"/>
  <c r="Q659" i="1"/>
  <c r="S659" i="1" s="1"/>
  <c r="W659" i="1" s="1"/>
  <c r="U659" i="1" s="1"/>
  <c r="O659" i="1"/>
  <c r="Q828" i="1"/>
  <c r="S828" i="1" s="1"/>
  <c r="W828" i="1" s="1"/>
  <c r="U828" i="1" s="1"/>
  <c r="O828" i="1"/>
  <c r="Q948" i="1"/>
  <c r="S948" i="1" s="1"/>
  <c r="W948" i="1" s="1"/>
  <c r="U948" i="1" s="1"/>
  <c r="O948" i="1"/>
  <c r="Q917" i="1"/>
  <c r="S917" i="1" s="1"/>
  <c r="W917" i="1" s="1"/>
  <c r="U917" i="1" s="1"/>
  <c r="O917" i="1"/>
  <c r="Q731" i="1"/>
  <c r="S731" i="1" s="1"/>
  <c r="W731" i="1" s="1"/>
  <c r="U731" i="1" s="1"/>
  <c r="O731" i="1"/>
  <c r="Q829" i="1"/>
  <c r="S829" i="1" s="1"/>
  <c r="W829" i="1" s="1"/>
  <c r="U829" i="1" s="1"/>
  <c r="O829" i="1"/>
  <c r="Q734" i="1"/>
  <c r="S734" i="1" s="1"/>
  <c r="W734" i="1" s="1"/>
  <c r="U734" i="1" s="1"/>
  <c r="O734" i="1"/>
  <c r="Q832" i="1"/>
  <c r="S832" i="1" s="1"/>
  <c r="W832" i="1" s="1"/>
  <c r="U832" i="1" s="1"/>
  <c r="O832" i="1"/>
  <c r="O859" i="1"/>
  <c r="Q859" i="1"/>
  <c r="S859" i="1" s="1"/>
  <c r="W859" i="1" s="1"/>
  <c r="U859" i="1" s="1"/>
  <c r="Q995" i="1"/>
  <c r="S995" i="1" s="1"/>
  <c r="W995" i="1" s="1"/>
  <c r="U995" i="1" s="1"/>
  <c r="O995" i="1"/>
  <c r="Q934" i="1"/>
  <c r="S934" i="1" s="1"/>
  <c r="W934" i="1" s="1"/>
  <c r="U934" i="1" s="1"/>
  <c r="O934" i="1"/>
  <c r="Q937" i="1"/>
  <c r="S937" i="1" s="1"/>
  <c r="W937" i="1" s="1"/>
  <c r="U937" i="1" s="1"/>
  <c r="O937" i="1"/>
  <c r="O926" i="1"/>
  <c r="Q926" i="1"/>
  <c r="S926" i="1" s="1"/>
  <c r="W926" i="1" s="1"/>
  <c r="U926" i="1" s="1"/>
  <c r="Q544" i="1"/>
  <c r="S544" i="1" s="1"/>
  <c r="W544" i="1" s="1"/>
  <c r="U544" i="1" s="1"/>
  <c r="O544" i="1"/>
  <c r="Q280" i="1"/>
  <c r="S280" i="1" s="1"/>
  <c r="W280" i="1" s="1"/>
  <c r="U280" i="1" s="1"/>
  <c r="O280" i="1"/>
  <c r="M157" i="1"/>
  <c r="Y157" i="1" s="1"/>
  <c r="Q80" i="1"/>
  <c r="S80" i="1" s="1"/>
  <c r="W80" i="1" s="1"/>
  <c r="U80" i="1" s="1"/>
  <c r="O80" i="1"/>
  <c r="O512" i="1"/>
  <c r="Q512" i="1"/>
  <c r="S512" i="1" s="1"/>
  <c r="W512" i="1" s="1"/>
  <c r="U512" i="1" s="1"/>
  <c r="M45" i="1"/>
  <c r="Y45" i="1" s="1"/>
  <c r="Q411" i="1"/>
  <c r="S411" i="1" s="1"/>
  <c r="W411" i="1" s="1"/>
  <c r="U411" i="1" s="1"/>
  <c r="O411" i="1"/>
  <c r="M650" i="1"/>
  <c r="Y650" i="1" s="1"/>
  <c r="Q436" i="1"/>
  <c r="S436" i="1" s="1"/>
  <c r="W436" i="1" s="1"/>
  <c r="U436" i="1" s="1"/>
  <c r="O436" i="1"/>
  <c r="M420" i="1"/>
  <c r="Y420" i="1" s="1"/>
  <c r="Q676" i="1"/>
  <c r="S676" i="1" s="1"/>
  <c r="W676" i="1" s="1"/>
  <c r="U676" i="1" s="1"/>
  <c r="O676" i="1"/>
  <c r="O252" i="1"/>
  <c r="Q252" i="1"/>
  <c r="S252" i="1" s="1"/>
  <c r="W252" i="1" s="1"/>
  <c r="U252" i="1" s="1"/>
  <c r="Q126" i="1"/>
  <c r="S126" i="1" s="1"/>
  <c r="W126" i="1" s="1"/>
  <c r="U126" i="1" s="1"/>
  <c r="O126" i="1"/>
  <c r="M218" i="1"/>
  <c r="Y218" i="1" s="1"/>
  <c r="M390" i="1"/>
  <c r="Y390" i="1" s="1"/>
  <c r="O21" i="1"/>
  <c r="Q21" i="1"/>
  <c r="S21" i="1" s="1"/>
  <c r="W21" i="1" s="1"/>
  <c r="U21" i="1" s="1"/>
  <c r="M207" i="1"/>
  <c r="Y207" i="1" s="1"/>
  <c r="O84" i="1"/>
  <c r="Q84" i="1"/>
  <c r="S84" i="1" s="1"/>
  <c r="W84" i="1" s="1"/>
  <c r="U84" i="1" s="1"/>
  <c r="O599" i="1"/>
  <c r="Q599" i="1"/>
  <c r="S599" i="1" s="1"/>
  <c r="W599" i="1" s="1"/>
  <c r="U599" i="1" s="1"/>
  <c r="Q364" i="1"/>
  <c r="S364" i="1" s="1"/>
  <c r="W364" i="1" s="1"/>
  <c r="U364" i="1" s="1"/>
  <c r="O364" i="1"/>
  <c r="M129" i="1"/>
  <c r="Y129" i="1" s="1"/>
  <c r="M270" i="1"/>
  <c r="Y270" i="1" s="1"/>
  <c r="M47" i="1"/>
  <c r="Y47" i="1" s="1"/>
  <c r="M151" i="1"/>
  <c r="Y151" i="1" s="1"/>
  <c r="M400" i="1"/>
  <c r="Y400" i="1" s="1"/>
  <c r="M425" i="1"/>
  <c r="Y425" i="1" s="1"/>
  <c r="M520" i="1"/>
  <c r="Y520" i="1" s="1"/>
  <c r="M311" i="1"/>
  <c r="Y311" i="1" s="1"/>
  <c r="M463" i="1"/>
  <c r="Y463" i="1" s="1"/>
  <c r="M765" i="1"/>
  <c r="Y765" i="1" s="1"/>
  <c r="M605" i="1"/>
  <c r="Y605" i="1" s="1"/>
  <c r="M748" i="1"/>
  <c r="Y748" i="1" s="1"/>
  <c r="M554" i="1"/>
  <c r="Y554" i="1" s="1"/>
  <c r="M723" i="1"/>
  <c r="Y723" i="1" s="1"/>
  <c r="M779" i="1"/>
  <c r="Y779" i="1" s="1"/>
  <c r="M864" i="1"/>
  <c r="Y864" i="1" s="1"/>
  <c r="M998" i="1"/>
  <c r="Y998" i="1" s="1"/>
  <c r="M808" i="1"/>
  <c r="Y808" i="1" s="1"/>
  <c r="Q231" i="1"/>
  <c r="S231" i="1" s="1"/>
  <c r="W231" i="1" s="1"/>
  <c r="U231" i="1" s="1"/>
  <c r="O231" i="1"/>
  <c r="Q351" i="1"/>
  <c r="S351" i="1" s="1"/>
  <c r="W351" i="1" s="1"/>
  <c r="U351" i="1" s="1"/>
  <c r="O351" i="1"/>
  <c r="Q515" i="1"/>
  <c r="S515" i="1" s="1"/>
  <c r="W515" i="1" s="1"/>
  <c r="U515" i="1" s="1"/>
  <c r="O515" i="1"/>
  <c r="O110" i="1"/>
  <c r="Q110" i="1"/>
  <c r="S110" i="1" s="1"/>
  <c r="W110" i="1" s="1"/>
  <c r="U110" i="1" s="1"/>
  <c r="Q365" i="1"/>
  <c r="S365" i="1" s="1"/>
  <c r="W365" i="1" s="1"/>
  <c r="U365" i="1" s="1"/>
  <c r="O365" i="1"/>
  <c r="O380" i="1"/>
  <c r="Q380" i="1"/>
  <c r="S380" i="1" s="1"/>
  <c r="W380" i="1" s="1"/>
  <c r="U380" i="1" s="1"/>
  <c r="Q85" i="1"/>
  <c r="S85" i="1" s="1"/>
  <c r="W85" i="1" s="1"/>
  <c r="U85" i="1" s="1"/>
  <c r="O85" i="1"/>
  <c r="Q191" i="1"/>
  <c r="S191" i="1" s="1"/>
  <c r="W191" i="1" s="1"/>
  <c r="U191" i="1" s="1"/>
  <c r="O191" i="1"/>
  <c r="Q357" i="1"/>
  <c r="S357" i="1" s="1"/>
  <c r="W357" i="1" s="1"/>
  <c r="U357" i="1" s="1"/>
  <c r="O357" i="1"/>
  <c r="Q179" i="1"/>
  <c r="S179" i="1" s="1"/>
  <c r="W179" i="1" s="1"/>
  <c r="U179" i="1" s="1"/>
  <c r="O179" i="1"/>
  <c r="Q420" i="1"/>
  <c r="S420" i="1" s="1"/>
  <c r="W420" i="1" s="1"/>
  <c r="U420" i="1" s="1"/>
  <c r="O420" i="1"/>
  <c r="O95" i="1"/>
  <c r="Q95" i="1"/>
  <c r="S95" i="1" s="1"/>
  <c r="W95" i="1" s="1"/>
  <c r="U95" i="1" s="1"/>
  <c r="Q333" i="1"/>
  <c r="S333" i="1" s="1"/>
  <c r="W333" i="1" s="1"/>
  <c r="U333" i="1" s="1"/>
  <c r="O333" i="1"/>
  <c r="Q587" i="1"/>
  <c r="S587" i="1" s="1"/>
  <c r="W587" i="1" s="1"/>
  <c r="U587" i="1" s="1"/>
  <c r="O587" i="1"/>
  <c r="Q242" i="1"/>
  <c r="S242" i="1" s="1"/>
  <c r="W242" i="1" s="1"/>
  <c r="U242" i="1" s="1"/>
  <c r="O242" i="1"/>
  <c r="Q326" i="1"/>
  <c r="S326" i="1" s="1"/>
  <c r="W326" i="1" s="1"/>
  <c r="U326" i="1" s="1"/>
  <c r="O326" i="1"/>
  <c r="Q671" i="1"/>
  <c r="S671" i="1" s="1"/>
  <c r="W671" i="1" s="1"/>
  <c r="U671" i="1" s="1"/>
  <c r="O671" i="1"/>
  <c r="Q538" i="1"/>
  <c r="S538" i="1" s="1"/>
  <c r="W538" i="1" s="1"/>
  <c r="U538" i="1" s="1"/>
  <c r="O538" i="1"/>
  <c r="O807" i="1"/>
  <c r="Q807" i="1"/>
  <c r="S807" i="1" s="1"/>
  <c r="W807" i="1" s="1"/>
  <c r="U807" i="1" s="1"/>
  <c r="Q415" i="1"/>
  <c r="S415" i="1" s="1"/>
  <c r="W415" i="1" s="1"/>
  <c r="U415" i="1" s="1"/>
  <c r="O415" i="1"/>
  <c r="Q520" i="1"/>
  <c r="S520" i="1" s="1"/>
  <c r="W520" i="1" s="1"/>
  <c r="U520" i="1" s="1"/>
  <c r="O520" i="1"/>
  <c r="Q339" i="1"/>
  <c r="S339" i="1" s="1"/>
  <c r="W339" i="1" s="1"/>
  <c r="U339" i="1" s="1"/>
  <c r="O339" i="1"/>
  <c r="Q437" i="1"/>
  <c r="S437" i="1" s="1"/>
  <c r="W437" i="1" s="1"/>
  <c r="U437" i="1" s="1"/>
  <c r="O437" i="1"/>
  <c r="Q475" i="1"/>
  <c r="S475" i="1" s="1"/>
  <c r="W475" i="1" s="1"/>
  <c r="U475" i="1" s="1"/>
  <c r="O475" i="1"/>
  <c r="O384" i="1"/>
  <c r="Q384" i="1"/>
  <c r="S384" i="1" s="1"/>
  <c r="W384" i="1" s="1"/>
  <c r="U384" i="1" s="1"/>
  <c r="O509" i="1"/>
  <c r="Q509" i="1"/>
  <c r="S509" i="1" s="1"/>
  <c r="W509" i="1" s="1"/>
  <c r="U509" i="1" s="1"/>
  <c r="Q580" i="1"/>
  <c r="S580" i="1" s="1"/>
  <c r="W580" i="1" s="1"/>
  <c r="U580" i="1" s="1"/>
  <c r="O580" i="1"/>
  <c r="Q782" i="1"/>
  <c r="S782" i="1" s="1"/>
  <c r="W782" i="1" s="1"/>
  <c r="U782" i="1" s="1"/>
  <c r="O782" i="1"/>
  <c r="Q494" i="1"/>
  <c r="S494" i="1" s="1"/>
  <c r="W494" i="1" s="1"/>
  <c r="U494" i="1" s="1"/>
  <c r="O494" i="1"/>
  <c r="O799" i="1"/>
  <c r="Q799" i="1"/>
  <c r="S799" i="1" s="1"/>
  <c r="W799" i="1" s="1"/>
  <c r="U799" i="1" s="1"/>
  <c r="Q740" i="1"/>
  <c r="S740" i="1" s="1"/>
  <c r="W740" i="1" s="1"/>
  <c r="U740" i="1" s="1"/>
  <c r="O740" i="1"/>
  <c r="Q634" i="1"/>
  <c r="S634" i="1" s="1"/>
  <c r="W634" i="1" s="1"/>
  <c r="U634" i="1" s="1"/>
  <c r="O634" i="1"/>
  <c r="Q693" i="1"/>
  <c r="S693" i="1" s="1"/>
  <c r="W693" i="1" s="1"/>
  <c r="U693" i="1" s="1"/>
  <c r="O693" i="1"/>
  <c r="O521" i="1"/>
  <c r="Q521" i="1"/>
  <c r="S521" i="1" s="1"/>
  <c r="W521" i="1" s="1"/>
  <c r="U521" i="1" s="1"/>
  <c r="Q806" i="1"/>
  <c r="S806" i="1" s="1"/>
  <c r="W806" i="1" s="1"/>
  <c r="U806" i="1" s="1"/>
  <c r="O806" i="1"/>
  <c r="Q511" i="1"/>
  <c r="S511" i="1" s="1"/>
  <c r="W511" i="1" s="1"/>
  <c r="U511" i="1" s="1"/>
  <c r="O511" i="1"/>
  <c r="O609" i="1"/>
  <c r="Q609" i="1"/>
  <c r="S609" i="1" s="1"/>
  <c r="W609" i="1" s="1"/>
  <c r="U609" i="1" s="1"/>
  <c r="Q858" i="1"/>
  <c r="S858" i="1" s="1"/>
  <c r="W858" i="1" s="1"/>
  <c r="U858" i="1" s="1"/>
  <c r="O858" i="1"/>
  <c r="O563" i="1"/>
  <c r="Q563" i="1"/>
  <c r="S563" i="1" s="1"/>
  <c r="W563" i="1" s="1"/>
  <c r="U563" i="1" s="1"/>
  <c r="O702" i="1"/>
  <c r="Q702" i="1"/>
  <c r="S702" i="1" s="1"/>
  <c r="W702" i="1" s="1"/>
  <c r="U702" i="1" s="1"/>
  <c r="Q768" i="1"/>
  <c r="S768" i="1" s="1"/>
  <c r="W768" i="1" s="1"/>
  <c r="U768" i="1" s="1"/>
  <c r="O768" i="1"/>
  <c r="Q761" i="1"/>
  <c r="S761" i="1" s="1"/>
  <c r="W761" i="1" s="1"/>
  <c r="U761" i="1" s="1"/>
  <c r="O761" i="1"/>
  <c r="O666" i="1"/>
  <c r="Q666" i="1"/>
  <c r="S666" i="1" s="1"/>
  <c r="W666" i="1" s="1"/>
  <c r="U666" i="1" s="1"/>
  <c r="Q851" i="1"/>
  <c r="S851" i="1" s="1"/>
  <c r="W851" i="1" s="1"/>
  <c r="U851" i="1" s="1"/>
  <c r="O851" i="1"/>
  <c r="Q987" i="1"/>
  <c r="S987" i="1" s="1"/>
  <c r="W987" i="1" s="1"/>
  <c r="U987" i="1" s="1"/>
  <c r="O987" i="1"/>
  <c r="O921" i="1"/>
  <c r="Q921" i="1"/>
  <c r="S921" i="1" s="1"/>
  <c r="W921" i="1" s="1"/>
  <c r="U921" i="1" s="1"/>
  <c r="O738" i="1"/>
  <c r="Q738" i="1"/>
  <c r="S738" i="1" s="1"/>
  <c r="W738" i="1" s="1"/>
  <c r="U738" i="1" s="1"/>
  <c r="Q836" i="1"/>
  <c r="S836" i="1" s="1"/>
  <c r="W836" i="1" s="1"/>
  <c r="U836" i="1" s="1"/>
  <c r="O836" i="1"/>
  <c r="Q741" i="1"/>
  <c r="S741" i="1" s="1"/>
  <c r="W741" i="1" s="1"/>
  <c r="U741" i="1" s="1"/>
  <c r="O741" i="1"/>
  <c r="Q839" i="1"/>
  <c r="S839" i="1" s="1"/>
  <c r="W839" i="1" s="1"/>
  <c r="U839" i="1" s="1"/>
  <c r="O839" i="1"/>
  <c r="Q866" i="1"/>
  <c r="S866" i="1" s="1"/>
  <c r="W866" i="1" s="1"/>
  <c r="U866" i="1" s="1"/>
  <c r="O866" i="1"/>
  <c r="O1006" i="1"/>
  <c r="Q1006" i="1"/>
  <c r="S1006" i="1" s="1"/>
  <c r="W1006" i="1" s="1"/>
  <c r="U1006" i="1" s="1"/>
  <c r="Q945" i="1"/>
  <c r="S945" i="1" s="1"/>
  <c r="W945" i="1" s="1"/>
  <c r="U945" i="1" s="1"/>
  <c r="O945" i="1"/>
  <c r="Q944" i="1"/>
  <c r="S944" i="1" s="1"/>
  <c r="W944" i="1" s="1"/>
  <c r="U944" i="1" s="1"/>
  <c r="O944" i="1"/>
  <c r="O933" i="1"/>
  <c r="Q933" i="1"/>
  <c r="S933" i="1" s="1"/>
  <c r="W933" i="1" s="1"/>
  <c r="U933" i="1" s="1"/>
  <c r="Q148" i="1"/>
  <c r="S148" i="1" s="1"/>
  <c r="W148" i="1" s="1"/>
  <c r="U148" i="1" s="1"/>
  <c r="O148" i="1"/>
  <c r="K166" i="1"/>
  <c r="M322" i="1"/>
  <c r="Y322" i="1" s="1"/>
  <c r="M580" i="1"/>
  <c r="Y580" i="1" s="1"/>
  <c r="M724" i="1"/>
  <c r="Y724" i="1" s="1"/>
  <c r="Q469" i="1"/>
  <c r="S469" i="1" s="1"/>
  <c r="W469" i="1" s="1"/>
  <c r="U469" i="1" s="1"/>
  <c r="O469" i="1"/>
  <c r="Q501" i="1"/>
  <c r="S501" i="1" s="1"/>
  <c r="W501" i="1" s="1"/>
  <c r="U501" i="1" s="1"/>
  <c r="O501" i="1"/>
  <c r="Q58" i="1"/>
  <c r="S58" i="1" s="1"/>
  <c r="W58" i="1" s="1"/>
  <c r="U58" i="1" s="1"/>
  <c r="O58" i="1"/>
  <c r="O218" i="1"/>
  <c r="Q218" i="1"/>
  <c r="S218" i="1" s="1"/>
  <c r="W218" i="1" s="1"/>
  <c r="U218" i="1" s="1"/>
  <c r="Q418" i="1"/>
  <c r="S418" i="1" s="1"/>
  <c r="W418" i="1" s="1"/>
  <c r="U418" i="1" s="1"/>
  <c r="O418" i="1"/>
  <c r="M236" i="1"/>
  <c r="Q115" i="1"/>
  <c r="S115" i="1" s="1"/>
  <c r="W115" i="1" s="1"/>
  <c r="U115" i="1" s="1"/>
  <c r="O115" i="1"/>
  <c r="M34" i="1"/>
  <c r="Y34" i="1" s="1"/>
  <c r="Q372" i="1"/>
  <c r="S372" i="1" s="1"/>
  <c r="W372" i="1" s="1"/>
  <c r="U372" i="1" s="1"/>
  <c r="O372" i="1"/>
  <c r="M198" i="1"/>
  <c r="Y198" i="1" s="1"/>
  <c r="M508" i="1"/>
  <c r="Y508" i="1" s="1"/>
  <c r="Q261" i="1"/>
  <c r="S261" i="1" s="1"/>
  <c r="W261" i="1" s="1"/>
  <c r="U261" i="1" s="1"/>
  <c r="O261" i="1"/>
  <c r="Q119" i="1"/>
  <c r="S119" i="1" s="1"/>
  <c r="W119" i="1" s="1"/>
  <c r="U119" i="1" s="1"/>
  <c r="O119" i="1"/>
  <c r="M112" i="1"/>
  <c r="Y112" i="1" s="1"/>
  <c r="M355" i="1"/>
  <c r="Y355" i="1" s="1"/>
  <c r="M205" i="1"/>
  <c r="Y205" i="1" s="1"/>
  <c r="O73" i="1"/>
  <c r="Q73" i="1"/>
  <c r="S73" i="1" s="1"/>
  <c r="W73" i="1" s="1"/>
  <c r="U73" i="1" s="1"/>
  <c r="Q284" i="1"/>
  <c r="S284" i="1" s="1"/>
  <c r="W284" i="1" s="1"/>
  <c r="U284" i="1" s="1"/>
  <c r="O284" i="1"/>
  <c r="Q172" i="1"/>
  <c r="S172" i="1" s="1"/>
  <c r="W172" i="1" s="1"/>
  <c r="U172" i="1" s="1"/>
  <c r="O172" i="1"/>
  <c r="Q348" i="1"/>
  <c r="S348" i="1" s="1"/>
  <c r="W348" i="1" s="1"/>
  <c r="U348" i="1" s="1"/>
  <c r="O348" i="1"/>
  <c r="M633" i="1"/>
  <c r="Y633" i="1" s="1"/>
  <c r="M272" i="1"/>
  <c r="Y272" i="1" s="1"/>
  <c r="M54" i="1"/>
  <c r="Y54" i="1" s="1"/>
  <c r="M158" i="1"/>
  <c r="Y158" i="1" s="1"/>
  <c r="M99" i="1"/>
  <c r="Y99" i="1" s="1"/>
  <c r="M194" i="1"/>
  <c r="Y194" i="1" s="1"/>
  <c r="M417" i="1"/>
  <c r="Y417" i="1" s="1"/>
  <c r="M260" i="1"/>
  <c r="Y260" i="1" s="1"/>
  <c r="M436" i="1"/>
  <c r="Y436" i="1" s="1"/>
  <c r="M245" i="1"/>
  <c r="Y245" i="1" s="1"/>
  <c r="M416" i="1"/>
  <c r="Y416" i="1" s="1"/>
  <c r="M466" i="1"/>
  <c r="Y466" i="1" s="1"/>
  <c r="M525" i="1"/>
  <c r="Y525" i="1" s="1"/>
  <c r="M651" i="1"/>
  <c r="Y651" i="1" s="1"/>
  <c r="M726" i="1"/>
  <c r="Y726" i="1" s="1"/>
  <c r="M714" i="1"/>
  <c r="Y714" i="1" s="1"/>
  <c r="M788" i="1"/>
  <c r="Y788" i="1" s="1"/>
  <c r="M815" i="1"/>
  <c r="Y815" i="1" s="1"/>
  <c r="M1002" i="1"/>
  <c r="Y1002" i="1" s="1"/>
  <c r="M918" i="1"/>
  <c r="Y918" i="1" s="1"/>
  <c r="M983" i="1"/>
  <c r="Y983" i="1" s="1"/>
  <c r="M972" i="1"/>
  <c r="Y972" i="1" s="1"/>
  <c r="M968" i="1"/>
  <c r="Y968" i="1" s="1"/>
  <c r="Q226" i="1"/>
  <c r="S226" i="1" s="1"/>
  <c r="W226" i="1" s="1"/>
  <c r="U226" i="1" s="1"/>
  <c r="O226" i="1"/>
  <c r="Q354" i="1"/>
  <c r="S354" i="1" s="1"/>
  <c r="W354" i="1" s="1"/>
  <c r="U354" i="1" s="1"/>
  <c r="O354" i="1"/>
  <c r="O19" i="1"/>
  <c r="I18" i="1"/>
  <c r="Q19" i="1"/>
  <c r="O117" i="1"/>
  <c r="Q117" i="1"/>
  <c r="S117" i="1" s="1"/>
  <c r="W117" i="1" s="1"/>
  <c r="U117" i="1" s="1"/>
  <c r="Q368" i="1"/>
  <c r="S368" i="1" s="1"/>
  <c r="W368" i="1" s="1"/>
  <c r="U368" i="1" s="1"/>
  <c r="O368" i="1"/>
  <c r="Q396" i="1"/>
  <c r="S396" i="1" s="1"/>
  <c r="W396" i="1" s="1"/>
  <c r="U396" i="1" s="1"/>
  <c r="O396" i="1"/>
  <c r="Q92" i="1"/>
  <c r="S92" i="1" s="1"/>
  <c r="W92" i="1" s="1"/>
  <c r="U92" i="1" s="1"/>
  <c r="O92" i="1"/>
  <c r="Q194" i="1"/>
  <c r="S194" i="1" s="1"/>
  <c r="W194" i="1" s="1"/>
  <c r="U194" i="1" s="1"/>
  <c r="O194" i="1"/>
  <c r="Q366" i="1"/>
  <c r="S366" i="1" s="1"/>
  <c r="W366" i="1" s="1"/>
  <c r="U366" i="1" s="1"/>
  <c r="O366" i="1"/>
  <c r="Q210" i="1"/>
  <c r="O210" i="1"/>
  <c r="I209" i="1"/>
  <c r="Q435" i="1"/>
  <c r="S435" i="1" s="1"/>
  <c r="W435" i="1" s="1"/>
  <c r="U435" i="1" s="1"/>
  <c r="O435" i="1"/>
  <c r="Q102" i="1"/>
  <c r="S102" i="1" s="1"/>
  <c r="W102" i="1" s="1"/>
  <c r="U102" i="1" s="1"/>
  <c r="O102" i="1"/>
  <c r="Q355" i="1"/>
  <c r="S355" i="1" s="1"/>
  <c r="W355" i="1" s="1"/>
  <c r="U355" i="1" s="1"/>
  <c r="O355" i="1"/>
  <c r="Q642" i="1"/>
  <c r="S642" i="1" s="1"/>
  <c r="W642" i="1" s="1"/>
  <c r="U642" i="1" s="1"/>
  <c r="O642" i="1"/>
  <c r="Q245" i="1"/>
  <c r="S245" i="1" s="1"/>
  <c r="W245" i="1" s="1"/>
  <c r="U245" i="1" s="1"/>
  <c r="O245" i="1"/>
  <c r="Q330" i="1"/>
  <c r="S330" i="1" s="1"/>
  <c r="W330" i="1" s="1"/>
  <c r="U330" i="1" s="1"/>
  <c r="O330" i="1"/>
  <c r="Q732" i="1"/>
  <c r="S732" i="1" s="1"/>
  <c r="W732" i="1" s="1"/>
  <c r="U732" i="1" s="1"/>
  <c r="O732" i="1"/>
  <c r="O542" i="1"/>
  <c r="Q542" i="1"/>
  <c r="S542" i="1" s="1"/>
  <c r="W542" i="1" s="1"/>
  <c r="U542" i="1" s="1"/>
  <c r="Q824" i="1"/>
  <c r="S824" i="1" s="1"/>
  <c r="W824" i="1" s="1"/>
  <c r="U824" i="1" s="1"/>
  <c r="O824" i="1"/>
  <c r="Q483" i="1"/>
  <c r="S483" i="1" s="1"/>
  <c r="W483" i="1" s="1"/>
  <c r="U483" i="1" s="1"/>
  <c r="O483" i="1"/>
  <c r="Q522" i="1"/>
  <c r="S522" i="1" s="1"/>
  <c r="W522" i="1" s="1"/>
  <c r="U522" i="1" s="1"/>
  <c r="O522" i="1"/>
  <c r="Q346" i="1"/>
  <c r="S346" i="1" s="1"/>
  <c r="W346" i="1" s="1"/>
  <c r="U346" i="1" s="1"/>
  <c r="O346" i="1"/>
  <c r="Q444" i="1"/>
  <c r="S444" i="1" s="1"/>
  <c r="W444" i="1" s="1"/>
  <c r="U444" i="1" s="1"/>
  <c r="O444" i="1"/>
  <c r="Q480" i="1"/>
  <c r="S480" i="1" s="1"/>
  <c r="W480" i="1" s="1"/>
  <c r="U480" i="1" s="1"/>
  <c r="O480" i="1"/>
  <c r="O391" i="1"/>
  <c r="Q391" i="1"/>
  <c r="S391" i="1" s="1"/>
  <c r="W391" i="1" s="1"/>
  <c r="U391" i="1" s="1"/>
  <c r="O516" i="1"/>
  <c r="Q516" i="1"/>
  <c r="S516" i="1" s="1"/>
  <c r="W516" i="1" s="1"/>
  <c r="U516" i="1" s="1"/>
  <c r="Q583" i="1"/>
  <c r="S583" i="1" s="1"/>
  <c r="W583" i="1" s="1"/>
  <c r="U583" i="1" s="1"/>
  <c r="O583" i="1"/>
  <c r="Q860" i="1"/>
  <c r="S860" i="1" s="1"/>
  <c r="W860" i="1" s="1"/>
  <c r="U860" i="1" s="1"/>
  <c r="O860" i="1"/>
  <c r="Q497" i="1"/>
  <c r="S497" i="1" s="1"/>
  <c r="W497" i="1" s="1"/>
  <c r="U497" i="1" s="1"/>
  <c r="O497" i="1"/>
  <c r="Q810" i="1"/>
  <c r="S810" i="1" s="1"/>
  <c r="W810" i="1" s="1"/>
  <c r="U810" i="1" s="1"/>
  <c r="O810" i="1"/>
  <c r="Q636" i="1"/>
  <c r="S636" i="1" s="1"/>
  <c r="W636" i="1" s="1"/>
  <c r="U636" i="1" s="1"/>
  <c r="O636" i="1"/>
  <c r="O644" i="1"/>
  <c r="Q644" i="1"/>
  <c r="S644" i="1" s="1"/>
  <c r="W644" i="1" s="1"/>
  <c r="U644" i="1" s="1"/>
  <c r="O707" i="1"/>
  <c r="Q707" i="1"/>
  <c r="S707" i="1" s="1"/>
  <c r="W707" i="1" s="1"/>
  <c r="U707" i="1" s="1"/>
  <c r="Q524" i="1"/>
  <c r="S524" i="1" s="1"/>
  <c r="W524" i="1" s="1"/>
  <c r="U524" i="1" s="1"/>
  <c r="O524" i="1"/>
  <c r="Q999" i="1"/>
  <c r="S999" i="1" s="1"/>
  <c r="W999" i="1" s="1"/>
  <c r="U999" i="1" s="1"/>
  <c r="O999" i="1"/>
  <c r="O518" i="1"/>
  <c r="Q518" i="1"/>
  <c r="S518" i="1" s="1"/>
  <c r="W518" i="1" s="1"/>
  <c r="U518" i="1" s="1"/>
  <c r="Q616" i="1"/>
  <c r="S616" i="1" s="1"/>
  <c r="W616" i="1" s="1"/>
  <c r="U616" i="1" s="1"/>
  <c r="O616" i="1"/>
  <c r="Q870" i="1"/>
  <c r="S870" i="1" s="1"/>
  <c r="W870" i="1" s="1"/>
  <c r="U870" i="1" s="1"/>
  <c r="O870" i="1"/>
  <c r="O570" i="1"/>
  <c r="Q570" i="1"/>
  <c r="S570" i="1" s="1"/>
  <c r="W570" i="1" s="1"/>
  <c r="U570" i="1" s="1"/>
  <c r="Q721" i="1"/>
  <c r="S721" i="1" s="1"/>
  <c r="W721" i="1" s="1"/>
  <c r="U721" i="1" s="1"/>
  <c r="O721" i="1"/>
  <c r="Q786" i="1"/>
  <c r="S786" i="1" s="1"/>
  <c r="W786" i="1" s="1"/>
  <c r="U786" i="1" s="1"/>
  <c r="O786" i="1"/>
  <c r="O784" i="1"/>
  <c r="Q784" i="1"/>
  <c r="S784" i="1" s="1"/>
  <c r="W784" i="1" s="1"/>
  <c r="U784" i="1" s="1"/>
  <c r="O673" i="1"/>
  <c r="Q673" i="1"/>
  <c r="S673" i="1" s="1"/>
  <c r="W673" i="1" s="1"/>
  <c r="U673" i="1" s="1"/>
  <c r="Q891" i="1"/>
  <c r="S891" i="1" s="1"/>
  <c r="W891" i="1" s="1"/>
  <c r="U891" i="1" s="1"/>
  <c r="O891" i="1"/>
  <c r="O812" i="1"/>
  <c r="Q812" i="1"/>
  <c r="S812" i="1" s="1"/>
  <c r="W812" i="1" s="1"/>
  <c r="U812" i="1" s="1"/>
  <c r="Q941" i="1"/>
  <c r="S941" i="1" s="1"/>
  <c r="W941" i="1" s="1"/>
  <c r="U941" i="1" s="1"/>
  <c r="O941" i="1"/>
  <c r="Q745" i="1"/>
  <c r="S745" i="1" s="1"/>
  <c r="W745" i="1" s="1"/>
  <c r="U745" i="1" s="1"/>
  <c r="O745" i="1"/>
  <c r="Q843" i="1"/>
  <c r="S843" i="1" s="1"/>
  <c r="W843" i="1" s="1"/>
  <c r="U843" i="1" s="1"/>
  <c r="O843" i="1"/>
  <c r="Q748" i="1"/>
  <c r="S748" i="1" s="1"/>
  <c r="W748" i="1" s="1"/>
  <c r="U748" i="1" s="1"/>
  <c r="O748" i="1"/>
  <c r="Q846" i="1"/>
  <c r="S846" i="1" s="1"/>
  <c r="W846" i="1" s="1"/>
  <c r="U846" i="1" s="1"/>
  <c r="O846" i="1"/>
  <c r="Q873" i="1"/>
  <c r="S873" i="1" s="1"/>
  <c r="W873" i="1" s="1"/>
  <c r="U873" i="1" s="1"/>
  <c r="O873" i="1"/>
  <c r="Q932" i="1"/>
  <c r="S932" i="1" s="1"/>
  <c r="W932" i="1" s="1"/>
  <c r="U932" i="1" s="1"/>
  <c r="O932" i="1"/>
  <c r="Q956" i="1"/>
  <c r="S956" i="1" s="1"/>
  <c r="W956" i="1" s="1"/>
  <c r="U956" i="1" s="1"/>
  <c r="O956" i="1"/>
  <c r="Q951" i="1"/>
  <c r="S951" i="1" s="1"/>
  <c r="W951" i="1" s="1"/>
  <c r="U951" i="1" s="1"/>
  <c r="O951" i="1"/>
  <c r="Q940" i="1"/>
  <c r="S940" i="1" s="1"/>
  <c r="W940" i="1" s="1"/>
  <c r="U940" i="1" s="1"/>
  <c r="O940" i="1"/>
  <c r="Q422" i="1"/>
  <c r="S422" i="1" s="1"/>
  <c r="W422" i="1" s="1"/>
  <c r="U422" i="1" s="1"/>
  <c r="O422" i="1"/>
  <c r="Q267" i="1"/>
  <c r="S267" i="1" s="1"/>
  <c r="W267" i="1" s="1"/>
  <c r="U267" i="1" s="1"/>
  <c r="O267" i="1"/>
  <c r="M146" i="1"/>
  <c r="Y146" i="1" s="1"/>
  <c r="K133" i="1"/>
  <c r="K18" i="1"/>
  <c r="Q227" i="1"/>
  <c r="S227" i="1" s="1"/>
  <c r="W227" i="1" s="1"/>
  <c r="U227" i="1" s="1"/>
  <c r="O227" i="1"/>
  <c r="Q146" i="1"/>
  <c r="S146" i="1" s="1"/>
  <c r="W146" i="1" s="1"/>
  <c r="U146" i="1" s="1"/>
  <c r="O146" i="1"/>
  <c r="M532" i="1"/>
  <c r="Y532" i="1" s="1"/>
  <c r="Q895" i="1"/>
  <c r="S895" i="1" s="1"/>
  <c r="W895" i="1" s="1"/>
  <c r="U895" i="1" s="1"/>
  <c r="O895" i="1"/>
  <c r="M586" i="1"/>
  <c r="Y586" i="1" s="1"/>
  <c r="Q104" i="1"/>
  <c r="S104" i="1" s="1"/>
  <c r="W104" i="1" s="1"/>
  <c r="U104" i="1" s="1"/>
  <c r="O104" i="1"/>
  <c r="Q27" i="1"/>
  <c r="S27" i="1" s="1"/>
  <c r="W27" i="1" s="1"/>
  <c r="U27" i="1" s="1"/>
  <c r="O27" i="1"/>
  <c r="Q345" i="1"/>
  <c r="S345" i="1" s="1"/>
  <c r="W345" i="1" s="1"/>
  <c r="U345" i="1" s="1"/>
  <c r="O345" i="1"/>
  <c r="M196" i="1"/>
  <c r="Y196" i="1" s="1"/>
  <c r="Q496" i="1"/>
  <c r="S496" i="1" s="1"/>
  <c r="W496" i="1" s="1"/>
  <c r="U496" i="1" s="1"/>
  <c r="O496" i="1"/>
  <c r="Q108" i="1"/>
  <c r="S108" i="1" s="1"/>
  <c r="W108" i="1" s="1"/>
  <c r="U108" i="1" s="1"/>
  <c r="O108" i="1"/>
  <c r="Q335" i="1"/>
  <c r="S335" i="1" s="1"/>
  <c r="W335" i="1" s="1"/>
  <c r="U335" i="1" s="1"/>
  <c r="O335" i="1"/>
  <c r="Q186" i="1"/>
  <c r="S186" i="1" s="1"/>
  <c r="W186" i="1" s="1"/>
  <c r="U186" i="1" s="1"/>
  <c r="O186" i="1"/>
  <c r="Q62" i="1"/>
  <c r="S62" i="1" s="1"/>
  <c r="W62" i="1" s="1"/>
  <c r="U62" i="1" s="1"/>
  <c r="O62" i="1"/>
  <c r="Q270" i="1"/>
  <c r="S270" i="1" s="1"/>
  <c r="W270" i="1" s="1"/>
  <c r="U270" i="1" s="1"/>
  <c r="O270" i="1"/>
  <c r="Q313" i="1"/>
  <c r="S313" i="1" s="1"/>
  <c r="W313" i="1" s="1"/>
  <c r="U313" i="1" s="1"/>
  <c r="O313" i="1"/>
  <c r="M107" i="1"/>
  <c r="Y107" i="1" s="1"/>
  <c r="M379" i="1"/>
  <c r="Y379" i="1" s="1"/>
  <c r="M106" i="1"/>
  <c r="Y106" i="1" s="1"/>
  <c r="M197" i="1"/>
  <c r="Y197" i="1" s="1"/>
  <c r="M210" i="1"/>
  <c r="J209" i="1"/>
  <c r="M263" i="1"/>
  <c r="Y263" i="1" s="1"/>
  <c r="M465" i="1"/>
  <c r="Y465" i="1" s="1"/>
  <c r="M289" i="1"/>
  <c r="Y289" i="1" s="1"/>
  <c r="M265" i="1"/>
  <c r="Y265" i="1" s="1"/>
  <c r="M293" i="1"/>
  <c r="Y293" i="1" s="1"/>
  <c r="M391" i="1"/>
  <c r="Y391" i="1" s="1"/>
  <c r="M648" i="1"/>
  <c r="Y648" i="1" s="1"/>
  <c r="M627" i="1"/>
  <c r="Y627" i="1" s="1"/>
  <c r="M762" i="1"/>
  <c r="Y762" i="1" s="1"/>
  <c r="M572" i="1"/>
  <c r="Y572" i="1" s="1"/>
  <c r="M824" i="1"/>
  <c r="Y824" i="1" s="1"/>
  <c r="M929" i="1"/>
  <c r="Y929" i="1" s="1"/>
  <c r="M952" i="1"/>
  <c r="Y952" i="1" s="1"/>
  <c r="M990" i="1"/>
  <c r="Y990" i="1" s="1"/>
  <c r="M979" i="1"/>
  <c r="Y979" i="1" s="1"/>
  <c r="M975" i="1"/>
  <c r="Y975" i="1" s="1"/>
  <c r="Q224" i="1"/>
  <c r="S224" i="1" s="1"/>
  <c r="W224" i="1" s="1"/>
  <c r="U224" i="1" s="1"/>
  <c r="O224" i="1"/>
  <c r="Q373" i="1"/>
  <c r="S373" i="1" s="1"/>
  <c r="W373" i="1" s="1"/>
  <c r="U373" i="1" s="1"/>
  <c r="O373" i="1"/>
  <c r="O26" i="1"/>
  <c r="Q26" i="1"/>
  <c r="S26" i="1" s="1"/>
  <c r="W26" i="1" s="1"/>
  <c r="U26" i="1" s="1"/>
  <c r="O124" i="1"/>
  <c r="Q124" i="1"/>
  <c r="S124" i="1" s="1"/>
  <c r="W124" i="1" s="1"/>
  <c r="U124" i="1" s="1"/>
  <c r="Q392" i="1"/>
  <c r="S392" i="1" s="1"/>
  <c r="W392" i="1" s="1"/>
  <c r="U392" i="1" s="1"/>
  <c r="O392" i="1"/>
  <c r="Q413" i="1"/>
  <c r="S413" i="1" s="1"/>
  <c r="W413" i="1" s="1"/>
  <c r="U413" i="1" s="1"/>
  <c r="O413" i="1"/>
  <c r="Q99" i="1"/>
  <c r="S99" i="1" s="1"/>
  <c r="W99" i="1" s="1"/>
  <c r="U99" i="1" s="1"/>
  <c r="O99" i="1"/>
  <c r="O197" i="1"/>
  <c r="Q197" i="1"/>
  <c r="S197" i="1" s="1"/>
  <c r="W197" i="1" s="1"/>
  <c r="U197" i="1" s="1"/>
  <c r="Q383" i="1"/>
  <c r="S383" i="1" s="1"/>
  <c r="W383" i="1" s="1"/>
  <c r="U383" i="1" s="1"/>
  <c r="O383" i="1"/>
  <c r="Q213" i="1"/>
  <c r="S213" i="1" s="1"/>
  <c r="W213" i="1" s="1"/>
  <c r="U213" i="1" s="1"/>
  <c r="O213" i="1"/>
  <c r="Q499" i="1"/>
  <c r="S499" i="1" s="1"/>
  <c r="W499" i="1" s="1"/>
  <c r="U499" i="1" s="1"/>
  <c r="O499" i="1"/>
  <c r="Q109" i="1"/>
  <c r="S109" i="1" s="1"/>
  <c r="W109" i="1" s="1"/>
  <c r="U109" i="1" s="1"/>
  <c r="O109" i="1"/>
  <c r="Q358" i="1"/>
  <c r="S358" i="1" s="1"/>
  <c r="W358" i="1" s="1"/>
  <c r="U358" i="1" s="1"/>
  <c r="O358" i="1"/>
  <c r="Q662" i="1"/>
  <c r="S662" i="1" s="1"/>
  <c r="W662" i="1" s="1"/>
  <c r="U662" i="1" s="1"/>
  <c r="O662" i="1"/>
  <c r="Q328" i="1"/>
  <c r="S328" i="1" s="1"/>
  <c r="W328" i="1" s="1"/>
  <c r="U328" i="1" s="1"/>
  <c r="O328" i="1"/>
  <c r="Q334" i="1"/>
  <c r="S334" i="1" s="1"/>
  <c r="W334" i="1" s="1"/>
  <c r="U334" i="1" s="1"/>
  <c r="O334" i="1"/>
  <c r="Q823" i="1"/>
  <c r="S823" i="1" s="1"/>
  <c r="W823" i="1" s="1"/>
  <c r="U823" i="1" s="1"/>
  <c r="O823" i="1"/>
  <c r="Q549" i="1"/>
  <c r="S549" i="1" s="1"/>
  <c r="W549" i="1" s="1"/>
  <c r="U549" i="1" s="1"/>
  <c r="O549" i="1"/>
  <c r="Q241" i="1"/>
  <c r="S241" i="1" s="1"/>
  <c r="W241" i="1" s="1"/>
  <c r="U241" i="1" s="1"/>
  <c r="O241" i="1"/>
  <c r="Q486" i="1"/>
  <c r="S486" i="1" s="1"/>
  <c r="W486" i="1" s="1"/>
  <c r="U486" i="1" s="1"/>
  <c r="O486" i="1"/>
  <c r="O552" i="1"/>
  <c r="Q552" i="1"/>
  <c r="S552" i="1" s="1"/>
  <c r="W552" i="1" s="1"/>
  <c r="U552" i="1" s="1"/>
  <c r="Q353" i="1"/>
  <c r="S353" i="1" s="1"/>
  <c r="W353" i="1" s="1"/>
  <c r="U353" i="1" s="1"/>
  <c r="O353" i="1"/>
  <c r="Q451" i="1"/>
  <c r="S451" i="1" s="1"/>
  <c r="W451" i="1" s="1"/>
  <c r="U451" i="1" s="1"/>
  <c r="O451" i="1"/>
  <c r="Q559" i="1"/>
  <c r="S559" i="1" s="1"/>
  <c r="W559" i="1" s="1"/>
  <c r="U559" i="1" s="1"/>
  <c r="O559" i="1"/>
  <c r="O398" i="1"/>
  <c r="Q398" i="1"/>
  <c r="S398" i="1" s="1"/>
  <c r="W398" i="1" s="1"/>
  <c r="U398" i="1" s="1"/>
  <c r="Q541" i="1"/>
  <c r="S541" i="1" s="1"/>
  <c r="W541" i="1" s="1"/>
  <c r="U541" i="1" s="1"/>
  <c r="O541" i="1"/>
  <c r="Q648" i="1"/>
  <c r="S648" i="1" s="1"/>
  <c r="W648" i="1" s="1"/>
  <c r="U648" i="1" s="1"/>
  <c r="O648" i="1"/>
  <c r="Q908" i="1"/>
  <c r="S908" i="1" s="1"/>
  <c r="W908" i="1" s="1"/>
  <c r="U908" i="1" s="1"/>
  <c r="O908" i="1"/>
  <c r="O500" i="1"/>
  <c r="Q500" i="1"/>
  <c r="S500" i="1" s="1"/>
  <c r="W500" i="1" s="1"/>
  <c r="U500" i="1" s="1"/>
  <c r="O833" i="1"/>
  <c r="Q833" i="1"/>
  <c r="S833" i="1" s="1"/>
  <c r="W833" i="1" s="1"/>
  <c r="U833" i="1" s="1"/>
  <c r="O646" i="1"/>
  <c r="Q646" i="1"/>
  <c r="S646" i="1" s="1"/>
  <c r="W646" i="1" s="1"/>
  <c r="U646" i="1" s="1"/>
  <c r="O718" i="1"/>
  <c r="Q718" i="1"/>
  <c r="S718" i="1" s="1"/>
  <c r="W718" i="1" s="1"/>
  <c r="U718" i="1" s="1"/>
  <c r="Q716" i="1"/>
  <c r="S716" i="1" s="1"/>
  <c r="W716" i="1" s="1"/>
  <c r="U716" i="1" s="1"/>
  <c r="O716" i="1"/>
  <c r="Q527" i="1"/>
  <c r="S527" i="1" s="1"/>
  <c r="W527" i="1" s="1"/>
  <c r="U527" i="1" s="1"/>
  <c r="O527" i="1"/>
  <c r="O695" i="1"/>
  <c r="Q695" i="1"/>
  <c r="S695" i="1" s="1"/>
  <c r="W695" i="1" s="1"/>
  <c r="U695" i="1" s="1"/>
  <c r="Q525" i="1"/>
  <c r="S525" i="1" s="1"/>
  <c r="W525" i="1" s="1"/>
  <c r="U525" i="1" s="1"/>
  <c r="O525" i="1"/>
  <c r="Q628" i="1"/>
  <c r="S628" i="1" s="1"/>
  <c r="W628" i="1" s="1"/>
  <c r="U628" i="1" s="1"/>
  <c r="O628" i="1"/>
  <c r="Q939" i="1"/>
  <c r="S939" i="1" s="1"/>
  <c r="W939" i="1" s="1"/>
  <c r="U939" i="1" s="1"/>
  <c r="O939" i="1"/>
  <c r="Q577" i="1"/>
  <c r="S577" i="1" s="1"/>
  <c r="W577" i="1" s="1"/>
  <c r="U577" i="1" s="1"/>
  <c r="O577" i="1"/>
  <c r="O723" i="1"/>
  <c r="Q723" i="1"/>
  <c r="S723" i="1" s="1"/>
  <c r="W723" i="1" s="1"/>
  <c r="U723" i="1" s="1"/>
  <c r="O805" i="1"/>
  <c r="Q805" i="1"/>
  <c r="S805" i="1" s="1"/>
  <c r="W805" i="1" s="1"/>
  <c r="U805" i="1" s="1"/>
  <c r="Q809" i="1"/>
  <c r="S809" i="1" s="1"/>
  <c r="W809" i="1" s="1"/>
  <c r="U809" i="1" s="1"/>
  <c r="O809" i="1"/>
  <c r="Q680" i="1"/>
  <c r="S680" i="1" s="1"/>
  <c r="W680" i="1" s="1"/>
  <c r="U680" i="1" s="1"/>
  <c r="O680" i="1"/>
  <c r="O896" i="1"/>
  <c r="Q896" i="1"/>
  <c r="S896" i="1" s="1"/>
  <c r="W896" i="1" s="1"/>
  <c r="U896" i="1" s="1"/>
  <c r="Q814" i="1"/>
  <c r="S814" i="1" s="1"/>
  <c r="W814" i="1" s="1"/>
  <c r="U814" i="1" s="1"/>
  <c r="O814" i="1"/>
  <c r="Q966" i="1"/>
  <c r="S966" i="1" s="1"/>
  <c r="W966" i="1" s="1"/>
  <c r="U966" i="1" s="1"/>
  <c r="O966" i="1"/>
  <c r="O752" i="1"/>
  <c r="Q752" i="1"/>
  <c r="S752" i="1" s="1"/>
  <c r="W752" i="1" s="1"/>
  <c r="U752" i="1" s="1"/>
  <c r="Q850" i="1"/>
  <c r="S850" i="1" s="1"/>
  <c r="W850" i="1" s="1"/>
  <c r="U850" i="1" s="1"/>
  <c r="O850" i="1"/>
  <c r="Q755" i="1"/>
  <c r="S755" i="1" s="1"/>
  <c r="W755" i="1" s="1"/>
  <c r="U755" i="1" s="1"/>
  <c r="O755" i="1"/>
  <c r="Q853" i="1"/>
  <c r="S853" i="1" s="1"/>
  <c r="W853" i="1" s="1"/>
  <c r="U853" i="1" s="1"/>
  <c r="O853" i="1"/>
  <c r="Q880" i="1"/>
  <c r="S880" i="1" s="1"/>
  <c r="W880" i="1" s="1"/>
  <c r="U880" i="1" s="1"/>
  <c r="O880" i="1"/>
  <c r="Q943" i="1"/>
  <c r="S943" i="1" s="1"/>
  <c r="W943" i="1" s="1"/>
  <c r="U943" i="1" s="1"/>
  <c r="O943" i="1"/>
  <c r="Q967" i="1"/>
  <c r="S967" i="1" s="1"/>
  <c r="W967" i="1" s="1"/>
  <c r="U967" i="1" s="1"/>
  <c r="O967" i="1"/>
  <c r="Q958" i="1"/>
  <c r="S958" i="1" s="1"/>
  <c r="W958" i="1" s="1"/>
  <c r="U958" i="1" s="1"/>
  <c r="O958" i="1"/>
  <c r="Q947" i="1"/>
  <c r="S947" i="1" s="1"/>
  <c r="W947" i="1" s="1"/>
  <c r="U947" i="1" s="1"/>
  <c r="O947" i="1"/>
  <c r="M244" i="1"/>
  <c r="Y244" i="1" s="1"/>
  <c r="M224" i="1"/>
  <c r="Y224" i="1" s="1"/>
  <c r="M1013" i="1"/>
  <c r="Y1013" i="1" s="1"/>
  <c r="M372" i="1"/>
  <c r="Y372" i="1" s="1"/>
  <c r="Q1010" i="1"/>
  <c r="O1010" i="1"/>
  <c r="O1019" i="1" s="1"/>
  <c r="I1019" i="1"/>
  <c r="Q340" i="1"/>
  <c r="S340" i="1" s="1"/>
  <c r="W340" i="1" s="1"/>
  <c r="U340" i="1" s="1"/>
  <c r="O340" i="1"/>
  <c r="Q97" i="1"/>
  <c r="S97" i="1" s="1"/>
  <c r="W97" i="1" s="1"/>
  <c r="U97" i="1" s="1"/>
  <c r="O97" i="1"/>
  <c r="O184" i="1"/>
  <c r="Q184" i="1"/>
  <c r="S184" i="1" s="1"/>
  <c r="W184" i="1" s="1"/>
  <c r="U184" i="1" s="1"/>
  <c r="Q77" i="1"/>
  <c r="S77" i="1" s="1"/>
  <c r="W77" i="1" s="1"/>
  <c r="U77" i="1" s="1"/>
  <c r="O77" i="1"/>
  <c r="M200" i="1"/>
  <c r="Y200" i="1" s="1"/>
  <c r="M213" i="1"/>
  <c r="Y213" i="1" s="1"/>
  <c r="M326" i="1"/>
  <c r="Y326" i="1" s="1"/>
  <c r="M566" i="1"/>
  <c r="Y566" i="1" s="1"/>
  <c r="M543" i="1"/>
  <c r="Y543" i="1" s="1"/>
  <c r="M597" i="1"/>
  <c r="Y597" i="1" s="1"/>
  <c r="M659" i="1"/>
  <c r="Y659" i="1" s="1"/>
  <c r="M731" i="1"/>
  <c r="Y731" i="1" s="1"/>
  <c r="M949" i="1"/>
  <c r="Y949" i="1" s="1"/>
  <c r="M928" i="1"/>
  <c r="Y928" i="1" s="1"/>
  <c r="O183" i="1"/>
  <c r="Q183" i="1"/>
  <c r="S183" i="1" s="1"/>
  <c r="W183" i="1" s="1"/>
  <c r="U183" i="1" s="1"/>
  <c r="Q385" i="1"/>
  <c r="S385" i="1" s="1"/>
  <c r="W385" i="1" s="1"/>
  <c r="U385" i="1" s="1"/>
  <c r="O385" i="1"/>
  <c r="O33" i="1"/>
  <c r="Q33" i="1"/>
  <c r="S33" i="1" s="1"/>
  <c r="W33" i="1" s="1"/>
  <c r="U33" i="1" s="1"/>
  <c r="O137" i="1"/>
  <c r="Q137" i="1"/>
  <c r="S137" i="1" s="1"/>
  <c r="W137" i="1" s="1"/>
  <c r="U137" i="1" s="1"/>
  <c r="O450" i="1"/>
  <c r="Q450" i="1"/>
  <c r="S450" i="1" s="1"/>
  <c r="W450" i="1" s="1"/>
  <c r="U450" i="1" s="1"/>
  <c r="O446" i="1"/>
  <c r="Q446" i="1"/>
  <c r="S446" i="1" s="1"/>
  <c r="W446" i="1" s="1"/>
  <c r="U446" i="1" s="1"/>
  <c r="O106" i="1"/>
  <c r="Q106" i="1"/>
  <c r="S106" i="1" s="1"/>
  <c r="W106" i="1" s="1"/>
  <c r="U106" i="1" s="1"/>
  <c r="Q200" i="1"/>
  <c r="S200" i="1" s="1"/>
  <c r="W200" i="1" s="1"/>
  <c r="U200" i="1" s="1"/>
  <c r="O200" i="1"/>
  <c r="Q400" i="1"/>
  <c r="S400" i="1" s="1"/>
  <c r="W400" i="1" s="1"/>
  <c r="U400" i="1" s="1"/>
  <c r="O400" i="1"/>
  <c r="O216" i="1"/>
  <c r="Q216" i="1"/>
  <c r="S216" i="1" s="1"/>
  <c r="W216" i="1" s="1"/>
  <c r="U216" i="1" s="1"/>
  <c r="Q529" i="1"/>
  <c r="S529" i="1" s="1"/>
  <c r="W529" i="1" s="1"/>
  <c r="U529" i="1" s="1"/>
  <c r="O529" i="1"/>
  <c r="Q116" i="1"/>
  <c r="S116" i="1" s="1"/>
  <c r="W116" i="1" s="1"/>
  <c r="U116" i="1" s="1"/>
  <c r="O116" i="1"/>
  <c r="Q390" i="1"/>
  <c r="S390" i="1" s="1"/>
  <c r="W390" i="1" s="1"/>
  <c r="U390" i="1" s="1"/>
  <c r="O390" i="1"/>
  <c r="O681" i="1"/>
  <c r="Q681" i="1"/>
  <c r="S681" i="1" s="1"/>
  <c r="W681" i="1" s="1"/>
  <c r="U681" i="1" s="1"/>
  <c r="Q427" i="1"/>
  <c r="S427" i="1" s="1"/>
  <c r="W427" i="1" s="1"/>
  <c r="U427" i="1" s="1"/>
  <c r="O427" i="1"/>
  <c r="Q338" i="1"/>
  <c r="S338" i="1" s="1"/>
  <c r="W338" i="1" s="1"/>
  <c r="U338" i="1" s="1"/>
  <c r="O338" i="1"/>
  <c r="Q293" i="1"/>
  <c r="S293" i="1" s="1"/>
  <c r="W293" i="1" s="1"/>
  <c r="U293" i="1" s="1"/>
  <c r="O293" i="1"/>
  <c r="Q935" i="1"/>
  <c r="S935" i="1" s="1"/>
  <c r="W935" i="1" s="1"/>
  <c r="U935" i="1" s="1"/>
  <c r="O935" i="1"/>
  <c r="Q244" i="1"/>
  <c r="S244" i="1" s="1"/>
  <c r="W244" i="1" s="1"/>
  <c r="U244" i="1" s="1"/>
  <c r="O244" i="1"/>
  <c r="O564" i="1"/>
  <c r="Q564" i="1"/>
  <c r="S564" i="1" s="1"/>
  <c r="W564" i="1" s="1"/>
  <c r="U564" i="1" s="1"/>
  <c r="O554" i="1"/>
  <c r="Q554" i="1"/>
  <c r="S554" i="1" s="1"/>
  <c r="W554" i="1" s="1"/>
  <c r="U554" i="1" s="1"/>
  <c r="Q360" i="1"/>
  <c r="S360" i="1" s="1"/>
  <c r="W360" i="1" s="1"/>
  <c r="U360" i="1" s="1"/>
  <c r="O360" i="1"/>
  <c r="O478" i="1"/>
  <c r="Q478" i="1"/>
  <c r="S478" i="1" s="1"/>
  <c r="W478" i="1" s="1"/>
  <c r="U478" i="1" s="1"/>
  <c r="O561" i="1"/>
  <c r="Q561" i="1"/>
  <c r="S561" i="1" s="1"/>
  <c r="W561" i="1" s="1"/>
  <c r="U561" i="1" s="1"/>
  <c r="Q405" i="1"/>
  <c r="S405" i="1" s="1"/>
  <c r="W405" i="1" s="1"/>
  <c r="U405" i="1" s="1"/>
  <c r="O405" i="1"/>
  <c r="Q543" i="1"/>
  <c r="S543" i="1" s="1"/>
  <c r="W543" i="1" s="1"/>
  <c r="U543" i="1" s="1"/>
  <c r="O543" i="1"/>
  <c r="O756" i="1"/>
  <c r="Q756" i="1"/>
  <c r="S756" i="1" s="1"/>
  <c r="W756" i="1" s="1"/>
  <c r="U756" i="1" s="1"/>
  <c r="O506" i="1"/>
  <c r="Q506" i="1"/>
  <c r="S506" i="1" s="1"/>
  <c r="W506" i="1" s="1"/>
  <c r="U506" i="1" s="1"/>
  <c r="O503" i="1"/>
  <c r="Q503" i="1"/>
  <c r="S503" i="1" s="1"/>
  <c r="W503" i="1" s="1"/>
  <c r="U503" i="1" s="1"/>
  <c r="O840" i="1"/>
  <c r="Q840" i="1"/>
  <c r="S840" i="1" s="1"/>
  <c r="W840" i="1" s="1"/>
  <c r="U840" i="1" s="1"/>
  <c r="Q654" i="1"/>
  <c r="S654" i="1" s="1"/>
  <c r="W654" i="1" s="1"/>
  <c r="U654" i="1" s="1"/>
  <c r="O654" i="1"/>
  <c r="Q760" i="1"/>
  <c r="S760" i="1" s="1"/>
  <c r="W760" i="1" s="1"/>
  <c r="U760" i="1" s="1"/>
  <c r="O760" i="1"/>
  <c r="O798" i="1"/>
  <c r="Q798" i="1"/>
  <c r="S798" i="1" s="1"/>
  <c r="W798" i="1" s="1"/>
  <c r="U798" i="1" s="1"/>
  <c r="Q530" i="1"/>
  <c r="S530" i="1" s="1"/>
  <c r="W530" i="1" s="1"/>
  <c r="U530" i="1" s="1"/>
  <c r="O530" i="1"/>
  <c r="Q699" i="1"/>
  <c r="S699" i="1" s="1"/>
  <c r="W699" i="1" s="1"/>
  <c r="U699" i="1" s="1"/>
  <c r="O699" i="1"/>
  <c r="O532" i="1"/>
  <c r="Q532" i="1"/>
  <c r="S532" i="1" s="1"/>
  <c r="W532" i="1" s="1"/>
  <c r="U532" i="1" s="1"/>
  <c r="Q647" i="1"/>
  <c r="S647" i="1" s="1"/>
  <c r="W647" i="1" s="1"/>
  <c r="U647" i="1" s="1"/>
  <c r="O647" i="1"/>
  <c r="Q990" i="1"/>
  <c r="S990" i="1" s="1"/>
  <c r="W990" i="1" s="1"/>
  <c r="U990" i="1" s="1"/>
  <c r="O990" i="1"/>
  <c r="O584" i="1"/>
  <c r="Q584" i="1"/>
  <c r="S584" i="1" s="1"/>
  <c r="W584" i="1" s="1"/>
  <c r="U584" i="1" s="1"/>
  <c r="Q739" i="1"/>
  <c r="S739" i="1" s="1"/>
  <c r="W739" i="1" s="1"/>
  <c r="U739" i="1" s="1"/>
  <c r="O739" i="1"/>
  <c r="Q813" i="1"/>
  <c r="S813" i="1" s="1"/>
  <c r="W813" i="1" s="1"/>
  <c r="U813" i="1" s="1"/>
  <c r="O813" i="1"/>
  <c r="Q754" i="1"/>
  <c r="S754" i="1" s="1"/>
  <c r="W754" i="1" s="1"/>
  <c r="U754" i="1" s="1"/>
  <c r="O754" i="1"/>
  <c r="Q687" i="1"/>
  <c r="S687" i="1" s="1"/>
  <c r="W687" i="1" s="1"/>
  <c r="U687" i="1" s="1"/>
  <c r="O687" i="1"/>
  <c r="Q899" i="1"/>
  <c r="S899" i="1" s="1"/>
  <c r="W899" i="1" s="1"/>
  <c r="U899" i="1" s="1"/>
  <c r="O899" i="1"/>
  <c r="Q837" i="1"/>
  <c r="S837" i="1" s="1"/>
  <c r="W837" i="1" s="1"/>
  <c r="U837" i="1" s="1"/>
  <c r="O837" i="1"/>
  <c r="Q1005" i="1"/>
  <c r="S1005" i="1" s="1"/>
  <c r="W1005" i="1" s="1"/>
  <c r="U1005" i="1" s="1"/>
  <c r="O1005" i="1"/>
  <c r="Q759" i="1"/>
  <c r="S759" i="1" s="1"/>
  <c r="W759" i="1" s="1"/>
  <c r="U759" i="1" s="1"/>
  <c r="O759" i="1"/>
  <c r="Q857" i="1"/>
  <c r="S857" i="1" s="1"/>
  <c r="W857" i="1" s="1"/>
  <c r="U857" i="1" s="1"/>
  <c r="O857" i="1"/>
  <c r="Q762" i="1"/>
  <c r="S762" i="1" s="1"/>
  <c r="W762" i="1" s="1"/>
  <c r="U762" i="1" s="1"/>
  <c r="O762" i="1"/>
  <c r="Q863" i="1"/>
  <c r="S863" i="1" s="1"/>
  <c r="W863" i="1" s="1"/>
  <c r="U863" i="1" s="1"/>
  <c r="O863" i="1"/>
  <c r="Q887" i="1"/>
  <c r="S887" i="1" s="1"/>
  <c r="W887" i="1" s="1"/>
  <c r="U887" i="1" s="1"/>
  <c r="O887" i="1"/>
  <c r="Q997" i="1"/>
  <c r="S997" i="1" s="1"/>
  <c r="W997" i="1" s="1"/>
  <c r="U997" i="1" s="1"/>
  <c r="O997" i="1"/>
  <c r="Q978" i="1"/>
  <c r="S978" i="1" s="1"/>
  <c r="W978" i="1" s="1"/>
  <c r="U978" i="1" s="1"/>
  <c r="O978" i="1"/>
  <c r="Q965" i="1"/>
  <c r="S965" i="1" s="1"/>
  <c r="W965" i="1" s="1"/>
  <c r="U965" i="1" s="1"/>
  <c r="O965" i="1"/>
  <c r="Q954" i="1"/>
  <c r="S954" i="1" s="1"/>
  <c r="W954" i="1" s="1"/>
  <c r="U954" i="1" s="1"/>
  <c r="O954" i="1"/>
  <c r="Q291" i="1"/>
  <c r="S291" i="1" s="1"/>
  <c r="W291" i="1" s="1"/>
  <c r="U291" i="1" s="1"/>
  <c r="O291" i="1"/>
  <c r="M1016" i="1"/>
  <c r="Y1016" i="1" s="1"/>
  <c r="Q361" i="1"/>
  <c r="S361" i="1" s="1"/>
  <c r="W361" i="1" s="1"/>
  <c r="U361" i="1" s="1"/>
  <c r="O361" i="1"/>
  <c r="Q211" i="1"/>
  <c r="S211" i="1" s="1"/>
  <c r="W211" i="1" s="1"/>
  <c r="U211" i="1" s="1"/>
  <c r="O211" i="1"/>
  <c r="Q93" i="1"/>
  <c r="S93" i="1" s="1"/>
  <c r="W93" i="1" s="1"/>
  <c r="U93" i="1" s="1"/>
  <c r="O93" i="1"/>
  <c r="Q1008" i="1"/>
  <c r="S1008" i="1" s="1"/>
  <c r="W1008" i="1" s="1"/>
  <c r="U1008" i="1" s="1"/>
  <c r="O1008" i="1"/>
  <c r="Q177" i="1"/>
  <c r="S177" i="1" s="1"/>
  <c r="W177" i="1" s="1"/>
  <c r="U177" i="1" s="1"/>
  <c r="O177" i="1"/>
  <c r="Q56" i="1"/>
  <c r="S56" i="1" s="1"/>
  <c r="W56" i="1" s="1"/>
  <c r="U56" i="1" s="1"/>
  <c r="O56" i="1"/>
  <c r="M227" i="1"/>
  <c r="Y227" i="1" s="1"/>
  <c r="M95" i="1"/>
  <c r="Y95" i="1" s="1"/>
  <c r="Q51" i="1"/>
  <c r="S51" i="1" s="1"/>
  <c r="W51" i="1" s="1"/>
  <c r="U51" i="1" s="1"/>
  <c r="O51" i="1"/>
  <c r="Q476" i="1"/>
  <c r="S476" i="1" s="1"/>
  <c r="W476" i="1" s="1"/>
  <c r="U476" i="1" s="1"/>
  <c r="O476" i="1"/>
  <c r="Q254" i="1"/>
  <c r="S254" i="1" s="1"/>
  <c r="W254" i="1" s="1"/>
  <c r="U254" i="1" s="1"/>
  <c r="O254" i="1"/>
  <c r="M159" i="1"/>
  <c r="Y159" i="1" s="1"/>
  <c r="Q296" i="1"/>
  <c r="S296" i="1" s="1"/>
  <c r="W296" i="1" s="1"/>
  <c r="U296" i="1" s="1"/>
  <c r="O296" i="1"/>
  <c r="Q66" i="1"/>
  <c r="S66" i="1" s="1"/>
  <c r="W66" i="1" s="1"/>
  <c r="U66" i="1" s="1"/>
  <c r="O66" i="1"/>
  <c r="M305" i="1"/>
  <c r="Y305" i="1" s="1"/>
  <c r="M312" i="1"/>
  <c r="Y312" i="1" s="1"/>
  <c r="M271" i="1"/>
  <c r="Y271" i="1" s="1"/>
  <c r="M364" i="1"/>
  <c r="Y364" i="1" s="1"/>
  <c r="M538" i="1"/>
  <c r="Y538" i="1" s="1"/>
  <c r="M437" i="1"/>
  <c r="Y437" i="1" s="1"/>
  <c r="M679" i="1"/>
  <c r="Y679" i="1" s="1"/>
  <c r="M682" i="1"/>
  <c r="Y682" i="1" s="1"/>
  <c r="M816" i="1"/>
  <c r="Y816" i="1" s="1"/>
  <c r="M834" i="1"/>
  <c r="Y834" i="1" s="1"/>
  <c r="M830" i="1"/>
  <c r="Y830" i="1" s="1"/>
  <c r="M692" i="1"/>
  <c r="Y692" i="1" s="1"/>
  <c r="M786" i="1"/>
  <c r="Y786" i="1" s="1"/>
  <c r="M960" i="1"/>
  <c r="Y960" i="1" s="1"/>
  <c r="M945" i="1"/>
  <c r="Y945" i="1" s="1"/>
  <c r="M1004" i="1"/>
  <c r="Y1004" i="1" s="1"/>
  <c r="M993" i="1"/>
  <c r="Y993" i="1" s="1"/>
  <c r="Q181" i="1"/>
  <c r="S181" i="1" s="1"/>
  <c r="W181" i="1" s="1"/>
  <c r="U181" i="1" s="1"/>
  <c r="O181" i="1"/>
  <c r="Q461" i="1"/>
  <c r="S461" i="1" s="1"/>
  <c r="W461" i="1" s="1"/>
  <c r="U461" i="1" s="1"/>
  <c r="O461" i="1"/>
  <c r="O40" i="1"/>
  <c r="Q40" i="1"/>
  <c r="S40" i="1" s="1"/>
  <c r="W40" i="1" s="1"/>
  <c r="U40" i="1" s="1"/>
  <c r="O144" i="1"/>
  <c r="Q144" i="1"/>
  <c r="S144" i="1" s="1"/>
  <c r="W144" i="1" s="1"/>
  <c r="U144" i="1" s="1"/>
  <c r="Q453" i="1"/>
  <c r="S453" i="1" s="1"/>
  <c r="W453" i="1" s="1"/>
  <c r="U453" i="1" s="1"/>
  <c r="O453" i="1"/>
  <c r="Q493" i="1"/>
  <c r="S493" i="1" s="1"/>
  <c r="W493" i="1" s="1"/>
  <c r="U493" i="1" s="1"/>
  <c r="O493" i="1"/>
  <c r="Q113" i="1"/>
  <c r="S113" i="1" s="1"/>
  <c r="W113" i="1" s="1"/>
  <c r="U113" i="1" s="1"/>
  <c r="O113" i="1"/>
  <c r="O225" i="1"/>
  <c r="Q225" i="1"/>
  <c r="S225" i="1" s="1"/>
  <c r="W225" i="1" s="1"/>
  <c r="U225" i="1" s="1"/>
  <c r="Q417" i="1"/>
  <c r="S417" i="1" s="1"/>
  <c r="W417" i="1" s="1"/>
  <c r="U417" i="1" s="1"/>
  <c r="O417" i="1"/>
  <c r="Q219" i="1"/>
  <c r="S219" i="1" s="1"/>
  <c r="W219" i="1" s="1"/>
  <c r="U219" i="1" s="1"/>
  <c r="O219" i="1"/>
  <c r="Q25" i="1"/>
  <c r="S25" i="1" s="1"/>
  <c r="W25" i="1" s="1"/>
  <c r="U25" i="1" s="1"/>
  <c r="O25" i="1"/>
  <c r="Q123" i="1"/>
  <c r="S123" i="1" s="1"/>
  <c r="W123" i="1" s="1"/>
  <c r="U123" i="1" s="1"/>
  <c r="O123" i="1"/>
  <c r="Q407" i="1"/>
  <c r="S407" i="1" s="1"/>
  <c r="W407" i="1" s="1"/>
  <c r="U407" i="1" s="1"/>
  <c r="O407" i="1"/>
  <c r="Q715" i="1"/>
  <c r="S715" i="1" s="1"/>
  <c r="W715" i="1" s="1"/>
  <c r="U715" i="1" s="1"/>
  <c r="O715" i="1"/>
  <c r="Q438" i="1"/>
  <c r="S438" i="1" s="1"/>
  <c r="W438" i="1" s="1"/>
  <c r="U438" i="1" s="1"/>
  <c r="O438" i="1"/>
  <c r="Q371" i="1"/>
  <c r="S371" i="1" s="1"/>
  <c r="W371" i="1" s="1"/>
  <c r="U371" i="1" s="1"/>
  <c r="O371" i="1"/>
  <c r="Q342" i="1"/>
  <c r="S342" i="1" s="1"/>
  <c r="W342" i="1" s="1"/>
  <c r="U342" i="1" s="1"/>
  <c r="O342" i="1"/>
  <c r="Q434" i="1"/>
  <c r="S434" i="1" s="1"/>
  <c r="W434" i="1" s="1"/>
  <c r="U434" i="1" s="1"/>
  <c r="O434" i="1"/>
  <c r="Q247" i="1"/>
  <c r="S247" i="1" s="1"/>
  <c r="W247" i="1" s="1"/>
  <c r="U247" i="1" s="1"/>
  <c r="O247" i="1"/>
  <c r="O576" i="1"/>
  <c r="Q576" i="1"/>
  <c r="S576" i="1" s="1"/>
  <c r="W576" i="1" s="1"/>
  <c r="U576" i="1" s="1"/>
  <c r="Q566" i="1"/>
  <c r="S566" i="1" s="1"/>
  <c r="W566" i="1" s="1"/>
  <c r="U566" i="1" s="1"/>
  <c r="O566" i="1"/>
  <c r="Q367" i="1"/>
  <c r="S367" i="1" s="1"/>
  <c r="W367" i="1" s="1"/>
  <c r="U367" i="1" s="1"/>
  <c r="O367" i="1"/>
  <c r="O487" i="1"/>
  <c r="Q487" i="1"/>
  <c r="S487" i="1" s="1"/>
  <c r="W487" i="1" s="1"/>
  <c r="U487" i="1" s="1"/>
  <c r="O585" i="1"/>
  <c r="Q585" i="1"/>
  <c r="S585" i="1" s="1"/>
  <c r="W585" i="1" s="1"/>
  <c r="U585" i="1" s="1"/>
  <c r="Q412" i="1"/>
  <c r="S412" i="1" s="1"/>
  <c r="W412" i="1" s="1"/>
  <c r="U412" i="1" s="1"/>
  <c r="O412" i="1"/>
  <c r="Q626" i="1"/>
  <c r="S626" i="1" s="1"/>
  <c r="W626" i="1" s="1"/>
  <c r="U626" i="1" s="1"/>
  <c r="O626" i="1"/>
  <c r="Q785" i="1"/>
  <c r="S785" i="1" s="1"/>
  <c r="W785" i="1" s="1"/>
  <c r="U785" i="1" s="1"/>
  <c r="O785" i="1"/>
  <c r="O540" i="1"/>
  <c r="Q540" i="1"/>
  <c r="S540" i="1" s="1"/>
  <c r="W540" i="1" s="1"/>
  <c r="U540" i="1" s="1"/>
  <c r="O519" i="1"/>
  <c r="Q519" i="1"/>
  <c r="S519" i="1" s="1"/>
  <c r="W519" i="1" s="1"/>
  <c r="U519" i="1" s="1"/>
  <c r="O885" i="1"/>
  <c r="Q885" i="1"/>
  <c r="S885" i="1" s="1"/>
  <c r="W885" i="1" s="1"/>
  <c r="U885" i="1" s="1"/>
  <c r="O789" i="1"/>
  <c r="Q789" i="1"/>
  <c r="S789" i="1" s="1"/>
  <c r="W789" i="1" s="1"/>
  <c r="U789" i="1" s="1"/>
  <c r="Q765" i="1"/>
  <c r="S765" i="1" s="1"/>
  <c r="W765" i="1" s="1"/>
  <c r="U765" i="1" s="1"/>
  <c r="O765" i="1"/>
  <c r="O817" i="1"/>
  <c r="Q817" i="1"/>
  <c r="S817" i="1" s="1"/>
  <c r="W817" i="1" s="1"/>
  <c r="U817" i="1" s="1"/>
  <c r="O533" i="1"/>
  <c r="Q533" i="1"/>
  <c r="S533" i="1" s="1"/>
  <c r="W533" i="1" s="1"/>
  <c r="U533" i="1" s="1"/>
  <c r="Q703" i="1"/>
  <c r="S703" i="1" s="1"/>
  <c r="W703" i="1" s="1"/>
  <c r="U703" i="1" s="1"/>
  <c r="O703" i="1"/>
  <c r="Q539" i="1"/>
  <c r="S539" i="1" s="1"/>
  <c r="W539" i="1" s="1"/>
  <c r="U539" i="1" s="1"/>
  <c r="O539" i="1"/>
  <c r="Q651" i="1"/>
  <c r="S651" i="1" s="1"/>
  <c r="W651" i="1" s="1"/>
  <c r="U651" i="1" s="1"/>
  <c r="O651" i="1"/>
  <c r="Q619" i="1"/>
  <c r="S619" i="1" s="1"/>
  <c r="W619" i="1" s="1"/>
  <c r="U619" i="1" s="1"/>
  <c r="O619" i="1"/>
  <c r="Q591" i="1"/>
  <c r="S591" i="1" s="1"/>
  <c r="W591" i="1" s="1"/>
  <c r="U591" i="1" s="1"/>
  <c r="O591" i="1"/>
  <c r="Q764" i="1"/>
  <c r="S764" i="1" s="1"/>
  <c r="W764" i="1" s="1"/>
  <c r="U764" i="1" s="1"/>
  <c r="O764" i="1"/>
  <c r="Q911" i="1"/>
  <c r="S911" i="1" s="1"/>
  <c r="W911" i="1" s="1"/>
  <c r="U911" i="1" s="1"/>
  <c r="O911" i="1"/>
  <c r="O777" i="1"/>
  <c r="Q777" i="1"/>
  <c r="S777" i="1" s="1"/>
  <c r="W777" i="1" s="1"/>
  <c r="U777" i="1" s="1"/>
  <c r="O694" i="1"/>
  <c r="Q694" i="1"/>
  <c r="S694" i="1" s="1"/>
  <c r="W694" i="1" s="1"/>
  <c r="U694" i="1" s="1"/>
  <c r="Q952" i="1"/>
  <c r="S952" i="1" s="1"/>
  <c r="W952" i="1" s="1"/>
  <c r="U952" i="1" s="1"/>
  <c r="O952" i="1"/>
  <c r="Q864" i="1"/>
  <c r="S864" i="1" s="1"/>
  <c r="W864" i="1" s="1"/>
  <c r="U864" i="1" s="1"/>
  <c r="O864" i="1"/>
  <c r="Q877" i="1"/>
  <c r="S877" i="1" s="1"/>
  <c r="W877" i="1" s="1"/>
  <c r="U877" i="1" s="1"/>
  <c r="O877" i="1"/>
  <c r="Q766" i="1"/>
  <c r="S766" i="1" s="1"/>
  <c r="W766" i="1" s="1"/>
  <c r="U766" i="1" s="1"/>
  <c r="O766" i="1"/>
  <c r="Q861" i="1"/>
  <c r="S861" i="1" s="1"/>
  <c r="W861" i="1" s="1"/>
  <c r="U861" i="1" s="1"/>
  <c r="O861" i="1"/>
  <c r="O769" i="1"/>
  <c r="Q769" i="1"/>
  <c r="S769" i="1" s="1"/>
  <c r="W769" i="1" s="1"/>
  <c r="U769" i="1" s="1"/>
  <c r="Q867" i="1"/>
  <c r="S867" i="1" s="1"/>
  <c r="W867" i="1" s="1"/>
  <c r="U867" i="1" s="1"/>
  <c r="O867" i="1"/>
  <c r="Q894" i="1"/>
  <c r="S894" i="1" s="1"/>
  <c r="W894" i="1" s="1"/>
  <c r="U894" i="1" s="1"/>
  <c r="O894" i="1"/>
  <c r="O862" i="1"/>
  <c r="Q862" i="1"/>
  <c r="S862" i="1" s="1"/>
  <c r="W862" i="1" s="1"/>
  <c r="U862" i="1" s="1"/>
  <c r="Q969" i="1"/>
  <c r="S969" i="1" s="1"/>
  <c r="W969" i="1" s="1"/>
  <c r="U969" i="1" s="1"/>
  <c r="O969" i="1"/>
  <c r="Q972" i="1"/>
  <c r="S972" i="1" s="1"/>
  <c r="W972" i="1" s="1"/>
  <c r="U972" i="1" s="1"/>
  <c r="O972" i="1"/>
  <c r="Q961" i="1"/>
  <c r="S961" i="1" s="1"/>
  <c r="W961" i="1" s="1"/>
  <c r="U961" i="1" s="1"/>
  <c r="O961" i="1"/>
  <c r="Q229" i="1"/>
  <c r="S229" i="1" s="1"/>
  <c r="W229" i="1" s="1"/>
  <c r="U229" i="1" s="1"/>
  <c r="O229" i="1"/>
  <c r="Q562" i="1"/>
  <c r="S562" i="1" s="1"/>
  <c r="W562" i="1" s="1"/>
  <c r="U562" i="1" s="1"/>
  <c r="O562" i="1"/>
  <c r="Q91" i="1"/>
  <c r="S91" i="1" s="1"/>
  <c r="W91" i="1" s="1"/>
  <c r="U91" i="1" s="1"/>
  <c r="O91" i="1"/>
  <c r="O230" i="1"/>
  <c r="Q230" i="1"/>
  <c r="S230" i="1" s="1"/>
  <c r="W230" i="1" s="1"/>
  <c r="U230" i="1" s="1"/>
  <c r="Q155" i="1"/>
  <c r="S155" i="1" s="1"/>
  <c r="W155" i="1" s="1"/>
  <c r="U155" i="1" s="1"/>
  <c r="O155" i="1"/>
  <c r="Q232" i="1"/>
  <c r="S232" i="1" s="1"/>
  <c r="W232" i="1" s="1"/>
  <c r="U232" i="1" s="1"/>
  <c r="O232" i="1"/>
  <c r="O89" i="1"/>
  <c r="Q89" i="1"/>
  <c r="S89" i="1" s="1"/>
  <c r="W89" i="1" s="1"/>
  <c r="U89" i="1" s="1"/>
  <c r="Q457" i="1"/>
  <c r="S457" i="1" s="1"/>
  <c r="W457" i="1" s="1"/>
  <c r="U457" i="1" s="1"/>
  <c r="O457" i="1"/>
  <c r="Q114" i="1"/>
  <c r="S114" i="1" s="1"/>
  <c r="W114" i="1" s="1"/>
  <c r="U114" i="1" s="1"/>
  <c r="O114" i="1"/>
  <c r="M854" i="1"/>
  <c r="Y854" i="1" s="1"/>
  <c r="Q31" i="1"/>
  <c r="S31" i="1" s="1"/>
  <c r="W31" i="1" s="1"/>
  <c r="U31" i="1" s="1"/>
  <c r="O31" i="1"/>
  <c r="O286" i="1"/>
  <c r="Q286" i="1"/>
  <c r="S286" i="1" s="1"/>
  <c r="W286" i="1" s="1"/>
  <c r="U286" i="1" s="1"/>
  <c r="I166" i="1"/>
  <c r="Q167" i="1"/>
  <c r="O167" i="1"/>
  <c r="Q170" i="1"/>
  <c r="S170" i="1" s="1"/>
  <c r="W170" i="1" s="1"/>
  <c r="U170" i="1" s="1"/>
  <c r="O170" i="1"/>
  <c r="Q292" i="1"/>
  <c r="S292" i="1" s="1"/>
  <c r="W292" i="1" s="1"/>
  <c r="U292" i="1" s="1"/>
  <c r="O292" i="1"/>
  <c r="Q222" i="1"/>
  <c r="S222" i="1" s="1"/>
  <c r="W222" i="1" s="1"/>
  <c r="U222" i="1" s="1"/>
  <c r="O222" i="1"/>
  <c r="O510" i="1"/>
  <c r="Q510" i="1"/>
  <c r="S510" i="1" s="1"/>
  <c r="W510" i="1" s="1"/>
  <c r="U510" i="1" s="1"/>
  <c r="Q618" i="1"/>
  <c r="S618" i="1" s="1"/>
  <c r="W618" i="1" s="1"/>
  <c r="U618" i="1" s="1"/>
  <c r="O618" i="1"/>
  <c r="O791" i="1"/>
  <c r="Q791" i="1"/>
  <c r="S791" i="1" s="1"/>
  <c r="W791" i="1" s="1"/>
  <c r="U791" i="1" s="1"/>
  <c r="Q466" i="1"/>
  <c r="S466" i="1" s="1"/>
  <c r="W466" i="1" s="1"/>
  <c r="U466" i="1" s="1"/>
  <c r="O466" i="1"/>
  <c r="Q689" i="1"/>
  <c r="S689" i="1" s="1"/>
  <c r="W689" i="1" s="1"/>
  <c r="U689" i="1" s="1"/>
  <c r="O689" i="1"/>
  <c r="Q641" i="1"/>
  <c r="S641" i="1" s="1"/>
  <c r="W641" i="1" s="1"/>
  <c r="U641" i="1" s="1"/>
  <c r="O641" i="1"/>
  <c r="O892" i="1"/>
  <c r="Q892" i="1"/>
  <c r="S892" i="1" s="1"/>
  <c r="W892" i="1" s="1"/>
  <c r="U892" i="1" s="1"/>
  <c r="Q925" i="1"/>
  <c r="S925" i="1" s="1"/>
  <c r="W925" i="1" s="1"/>
  <c r="U925" i="1" s="1"/>
  <c r="O925" i="1"/>
  <c r="O854" i="1"/>
  <c r="Q854" i="1"/>
  <c r="S854" i="1" s="1"/>
  <c r="W854" i="1" s="1"/>
  <c r="U854" i="1" s="1"/>
  <c r="O691" i="1"/>
  <c r="Q691" i="1"/>
  <c r="S691" i="1" s="1"/>
  <c r="W691" i="1" s="1"/>
  <c r="U691" i="1" s="1"/>
  <c r="Q913" i="1"/>
  <c r="S913" i="1" s="1"/>
  <c r="W913" i="1" s="1"/>
  <c r="U913" i="1" s="1"/>
  <c r="O913" i="1"/>
  <c r="O717" i="1"/>
  <c r="Q717" i="1"/>
  <c r="S717" i="1" s="1"/>
  <c r="W717" i="1" s="1"/>
  <c r="U717" i="1" s="1"/>
  <c r="Q973" i="1"/>
  <c r="S973" i="1" s="1"/>
  <c r="W973" i="1" s="1"/>
  <c r="U973" i="1" s="1"/>
  <c r="O973" i="1"/>
  <c r="Q160" i="1"/>
  <c r="S160" i="1" s="1"/>
  <c r="W160" i="1" s="1"/>
  <c r="U160" i="1" s="1"/>
  <c r="O160" i="1"/>
  <c r="M49" i="1"/>
  <c r="Y49" i="1" s="1"/>
  <c r="M239" i="1"/>
  <c r="Y239" i="1" s="1"/>
  <c r="M697" i="1"/>
  <c r="Y697" i="1" s="1"/>
  <c r="O151" i="1"/>
  <c r="Q151" i="1"/>
  <c r="S151" i="1" s="1"/>
  <c r="W151" i="1" s="1"/>
  <c r="U151" i="1" s="1"/>
  <c r="Q445" i="1"/>
  <c r="S445" i="1" s="1"/>
  <c r="W445" i="1" s="1"/>
  <c r="U445" i="1" s="1"/>
  <c r="O445" i="1"/>
  <c r="Q655" i="1"/>
  <c r="S655" i="1" s="1"/>
  <c r="W655" i="1" s="1"/>
  <c r="U655" i="1" s="1"/>
  <c r="O655" i="1"/>
  <c r="Q34" i="1"/>
  <c r="S34" i="1" s="1"/>
  <c r="W34" i="1" s="1"/>
  <c r="U34" i="1" s="1"/>
  <c r="O34" i="1"/>
  <c r="M38" i="1"/>
  <c r="Y38" i="1" s="1"/>
  <c r="O263" i="1"/>
  <c r="Q263" i="1"/>
  <c r="S263" i="1" s="1"/>
  <c r="W263" i="1" s="1"/>
  <c r="U263" i="1" s="1"/>
  <c r="M546" i="1"/>
  <c r="Y546" i="1" s="1"/>
  <c r="O54" i="1"/>
  <c r="Q54" i="1"/>
  <c r="S54" i="1" s="1"/>
  <c r="W54" i="1" s="1"/>
  <c r="U54" i="1" s="1"/>
  <c r="O182" i="1"/>
  <c r="Q182" i="1"/>
  <c r="S182" i="1" s="1"/>
  <c r="W182" i="1" s="1"/>
  <c r="U182" i="1" s="1"/>
  <c r="Q596" i="1"/>
  <c r="S596" i="1" s="1"/>
  <c r="W596" i="1" s="1"/>
  <c r="U596" i="1" s="1"/>
  <c r="O596" i="1"/>
  <c r="Q938" i="1"/>
  <c r="S938" i="1" s="1"/>
  <c r="W938" i="1" s="1"/>
  <c r="U938" i="1" s="1"/>
  <c r="O938" i="1"/>
  <c r="Q656" i="1"/>
  <c r="S656" i="1" s="1"/>
  <c r="W656" i="1" s="1"/>
  <c r="U656" i="1" s="1"/>
  <c r="O656" i="1"/>
  <c r="O992" i="1"/>
  <c r="Q992" i="1"/>
  <c r="S992" i="1" s="1"/>
  <c r="W992" i="1" s="1"/>
  <c r="U992" i="1" s="1"/>
  <c r="Q783" i="1"/>
  <c r="S783" i="1" s="1"/>
  <c r="W783" i="1" s="1"/>
  <c r="U783" i="1" s="1"/>
  <c r="O783" i="1"/>
  <c r="Q991" i="1"/>
  <c r="S991" i="1" s="1"/>
  <c r="W991" i="1" s="1"/>
  <c r="U991" i="1" s="1"/>
  <c r="O991" i="1"/>
  <c r="Q975" i="1"/>
  <c r="S975" i="1" s="1"/>
  <c r="W975" i="1" s="1"/>
  <c r="U975" i="1" s="1"/>
  <c r="O975" i="1"/>
  <c r="Q217" i="1"/>
  <c r="S217" i="1" s="1"/>
  <c r="W217" i="1" s="1"/>
  <c r="U217" i="1" s="1"/>
  <c r="O217" i="1"/>
  <c r="Q298" i="1"/>
  <c r="S298" i="1" s="1"/>
  <c r="W298" i="1" s="1"/>
  <c r="U298" i="1" s="1"/>
  <c r="O298" i="1"/>
  <c r="M747" i="1"/>
  <c r="Y747" i="1" s="1"/>
  <c r="Q138" i="1"/>
  <c r="S138" i="1" s="1"/>
  <c r="W138" i="1" s="1"/>
  <c r="U138" i="1" s="1"/>
  <c r="O138" i="1"/>
  <c r="M32" i="1"/>
  <c r="Y32" i="1" s="1"/>
  <c r="Q336" i="1"/>
  <c r="S336" i="1" s="1"/>
  <c r="W336" i="1" s="1"/>
  <c r="U336" i="1" s="1"/>
  <c r="O336" i="1"/>
  <c r="Q198" i="1"/>
  <c r="S198" i="1" s="1"/>
  <c r="W198" i="1" s="1"/>
  <c r="U198" i="1" s="1"/>
  <c r="O198" i="1"/>
  <c r="M73" i="1"/>
  <c r="Y73" i="1" s="1"/>
  <c r="Q271" i="1"/>
  <c r="S271" i="1" s="1"/>
  <c r="W271" i="1" s="1"/>
  <c r="U271" i="1" s="1"/>
  <c r="O271" i="1"/>
  <c r="O142" i="1"/>
  <c r="Q142" i="1"/>
  <c r="S142" i="1" s="1"/>
  <c r="W142" i="1" s="1"/>
  <c r="U142" i="1" s="1"/>
  <c r="M27" i="1"/>
  <c r="Y27" i="1" s="1"/>
  <c r="M217" i="1"/>
  <c r="Y217" i="1" s="1"/>
  <c r="Q38" i="1"/>
  <c r="S38" i="1" s="1"/>
  <c r="W38" i="1" s="1"/>
  <c r="U38" i="1" s="1"/>
  <c r="O38" i="1"/>
  <c r="M240" i="1"/>
  <c r="Y240" i="1" s="1"/>
  <c r="Q44" i="1"/>
  <c r="S44" i="1" s="1"/>
  <c r="W44" i="1" s="1"/>
  <c r="U44" i="1" s="1"/>
  <c r="O44" i="1"/>
  <c r="M565" i="1"/>
  <c r="Y565" i="1" s="1"/>
  <c r="M610" i="1"/>
  <c r="Y610" i="1" s="1"/>
  <c r="M96" i="1"/>
  <c r="Y96" i="1" s="1"/>
  <c r="M393" i="1"/>
  <c r="Y393" i="1" s="1"/>
  <c r="M147" i="1"/>
  <c r="Y147" i="1" s="1"/>
  <c r="M243" i="1"/>
  <c r="Y243" i="1" s="1"/>
  <c r="M258" i="1"/>
  <c r="Y258" i="1" s="1"/>
  <c r="M324" i="1"/>
  <c r="Y324" i="1" s="1"/>
  <c r="M432" i="1"/>
  <c r="Y432" i="1" s="1"/>
  <c r="M291" i="1"/>
  <c r="Y291" i="1" s="1"/>
  <c r="M556" i="1"/>
  <c r="Y556" i="1" s="1"/>
  <c r="M287" i="1"/>
  <c r="Y287" i="1" s="1"/>
  <c r="M385" i="1"/>
  <c r="Y385" i="1" s="1"/>
  <c r="M661" i="1"/>
  <c r="Y661" i="1" s="1"/>
  <c r="M585" i="1"/>
  <c r="Y585" i="1" s="1"/>
  <c r="M871" i="1"/>
  <c r="Y871" i="1" s="1"/>
  <c r="M701" i="1"/>
  <c r="Y701" i="1" s="1"/>
  <c r="M994" i="1"/>
  <c r="Y994" i="1" s="1"/>
  <c r="M863" i="1"/>
  <c r="Y863" i="1" s="1"/>
  <c r="M844" i="1"/>
  <c r="Y844" i="1" s="1"/>
  <c r="M872" i="1"/>
  <c r="Y872" i="1" s="1"/>
  <c r="M759" i="1"/>
  <c r="Y759" i="1" s="1"/>
  <c r="M857" i="1"/>
  <c r="Y857" i="1" s="1"/>
  <c r="M978" i="1"/>
  <c r="Y978" i="1" s="1"/>
  <c r="M916" i="1"/>
  <c r="Y916" i="1" s="1"/>
  <c r="M912" i="1"/>
  <c r="Y912" i="1" s="1"/>
  <c r="Q118" i="1"/>
  <c r="S118" i="1" s="1"/>
  <c r="W118" i="1" s="1"/>
  <c r="U118" i="1" s="1"/>
  <c r="O118" i="1"/>
  <c r="Q608" i="1"/>
  <c r="S608" i="1" s="1"/>
  <c r="W608" i="1" s="1"/>
  <c r="U608" i="1" s="1"/>
  <c r="O608" i="1"/>
  <c r="O61" i="1"/>
  <c r="Q61" i="1"/>
  <c r="S61" i="1" s="1"/>
  <c r="W61" i="1" s="1"/>
  <c r="U61" i="1" s="1"/>
  <c r="Q249" i="1"/>
  <c r="S249" i="1" s="1"/>
  <c r="W249" i="1" s="1"/>
  <c r="U249" i="1" s="1"/>
  <c r="O249" i="1"/>
  <c r="Q206" i="1"/>
  <c r="S206" i="1" s="1"/>
  <c r="W206" i="1" s="1"/>
  <c r="U206" i="1" s="1"/>
  <c r="O206" i="1"/>
  <c r="Q36" i="1"/>
  <c r="S36" i="1" s="1"/>
  <c r="W36" i="1" s="1"/>
  <c r="U36" i="1" s="1"/>
  <c r="O36" i="1"/>
  <c r="Q140" i="1"/>
  <c r="S140" i="1" s="1"/>
  <c r="W140" i="1" s="1"/>
  <c r="U140" i="1" s="1"/>
  <c r="O140" i="1"/>
  <c r="O266" i="1"/>
  <c r="Q266" i="1"/>
  <c r="S266" i="1" s="1"/>
  <c r="W266" i="1" s="1"/>
  <c r="U266" i="1" s="1"/>
  <c r="Q462" i="1"/>
  <c r="S462" i="1" s="1"/>
  <c r="W462" i="1" s="1"/>
  <c r="U462" i="1" s="1"/>
  <c r="O462" i="1"/>
  <c r="Q277" i="1"/>
  <c r="S277" i="1" s="1"/>
  <c r="W277" i="1" s="1"/>
  <c r="U277" i="1" s="1"/>
  <c r="O277" i="1"/>
  <c r="O46" i="1"/>
  <c r="Q46" i="1"/>
  <c r="S46" i="1" s="1"/>
  <c r="W46" i="1" s="1"/>
  <c r="U46" i="1" s="1"/>
  <c r="Q143" i="1"/>
  <c r="S143" i="1" s="1"/>
  <c r="W143" i="1" s="1"/>
  <c r="U143" i="1" s="1"/>
  <c r="O143" i="1"/>
  <c r="Q431" i="1"/>
  <c r="S431" i="1" s="1"/>
  <c r="W431" i="1" s="1"/>
  <c r="U431" i="1" s="1"/>
  <c r="O431" i="1"/>
  <c r="Q189" i="1"/>
  <c r="S189" i="1" s="1"/>
  <c r="W189" i="1" s="1"/>
  <c r="U189" i="1" s="1"/>
  <c r="O189" i="1"/>
  <c r="Q579" i="1"/>
  <c r="S579" i="1" s="1"/>
  <c r="W579" i="1" s="1"/>
  <c r="U579" i="1" s="1"/>
  <c r="O579" i="1"/>
  <c r="Q397" i="1"/>
  <c r="S397" i="1" s="1"/>
  <c r="W397" i="1" s="1"/>
  <c r="U397" i="1" s="1"/>
  <c r="O397" i="1"/>
  <c r="Q421" i="1"/>
  <c r="S421" i="1" s="1"/>
  <c r="W421" i="1" s="1"/>
  <c r="U421" i="1" s="1"/>
  <c r="O421" i="1"/>
  <c r="Q514" i="1"/>
  <c r="S514" i="1" s="1"/>
  <c r="W514" i="1" s="1"/>
  <c r="U514" i="1" s="1"/>
  <c r="O514" i="1"/>
  <c r="Q256" i="1"/>
  <c r="S256" i="1" s="1"/>
  <c r="W256" i="1" s="1"/>
  <c r="U256" i="1" s="1"/>
  <c r="O256" i="1"/>
  <c r="Q849" i="1"/>
  <c r="S849" i="1" s="1"/>
  <c r="W849" i="1" s="1"/>
  <c r="U849" i="1" s="1"/>
  <c r="O849" i="1"/>
  <c r="Q290" i="1"/>
  <c r="S290" i="1" s="1"/>
  <c r="W290" i="1" s="1"/>
  <c r="U290" i="1" s="1"/>
  <c r="O290" i="1"/>
  <c r="Q388" i="1"/>
  <c r="S388" i="1" s="1"/>
  <c r="W388" i="1" s="1"/>
  <c r="U388" i="1" s="1"/>
  <c r="O388" i="1"/>
  <c r="Q623" i="1"/>
  <c r="S623" i="1" s="1"/>
  <c r="W623" i="1" s="1"/>
  <c r="U623" i="1" s="1"/>
  <c r="O623" i="1"/>
  <c r="Q604" i="1"/>
  <c r="S604" i="1" s="1"/>
  <c r="W604" i="1" s="1"/>
  <c r="U604" i="1" s="1"/>
  <c r="O604" i="1"/>
  <c r="Q433" i="1"/>
  <c r="S433" i="1" s="1"/>
  <c r="W433" i="1" s="1"/>
  <c r="U433" i="1" s="1"/>
  <c r="O433" i="1"/>
  <c r="Q841" i="1"/>
  <c r="S841" i="1" s="1"/>
  <c r="W841" i="1" s="1"/>
  <c r="U841" i="1" s="1"/>
  <c r="O841" i="1"/>
  <c r="O720" i="1"/>
  <c r="Q720" i="1"/>
  <c r="S720" i="1" s="1"/>
  <c r="W720" i="1" s="1"/>
  <c r="U720" i="1" s="1"/>
  <c r="Q682" i="1"/>
  <c r="S682" i="1" s="1"/>
  <c r="W682" i="1" s="1"/>
  <c r="U682" i="1" s="1"/>
  <c r="O682" i="1"/>
  <c r="Q582" i="1"/>
  <c r="S582" i="1" s="1"/>
  <c r="W582" i="1" s="1"/>
  <c r="U582" i="1" s="1"/>
  <c r="O582" i="1"/>
  <c r="Q586" i="1"/>
  <c r="S586" i="1" s="1"/>
  <c r="W586" i="1" s="1"/>
  <c r="U586" i="1" s="1"/>
  <c r="O586" i="1"/>
  <c r="Q816" i="1"/>
  <c r="S816" i="1" s="1"/>
  <c r="W816" i="1" s="1"/>
  <c r="U816" i="1" s="1"/>
  <c r="O816" i="1"/>
  <c r="Q713" i="1"/>
  <c r="S713" i="1" s="1"/>
  <c r="W713" i="1" s="1"/>
  <c r="U713" i="1" s="1"/>
  <c r="O713" i="1"/>
  <c r="Q658" i="1"/>
  <c r="S658" i="1" s="1"/>
  <c r="W658" i="1" s="1"/>
  <c r="U658" i="1" s="1"/>
  <c r="O658" i="1"/>
  <c r="Q590" i="1"/>
  <c r="S590" i="1" s="1"/>
  <c r="W590" i="1" s="1"/>
  <c r="U590" i="1" s="1"/>
  <c r="O590" i="1"/>
  <c r="O750" i="1"/>
  <c r="Q750" i="1"/>
  <c r="S750" i="1" s="1"/>
  <c r="W750" i="1" s="1"/>
  <c r="U750" i="1" s="1"/>
  <c r="Q560" i="1"/>
  <c r="S560" i="1" s="1"/>
  <c r="W560" i="1" s="1"/>
  <c r="U560" i="1" s="1"/>
  <c r="O560" i="1"/>
  <c r="Q692" i="1"/>
  <c r="S692" i="1" s="1"/>
  <c r="W692" i="1" s="1"/>
  <c r="U692" i="1" s="1"/>
  <c r="O692" i="1"/>
  <c r="Q640" i="1"/>
  <c r="S640" i="1" s="1"/>
  <c r="W640" i="1" s="1"/>
  <c r="U640" i="1" s="1"/>
  <c r="O640" i="1"/>
  <c r="O612" i="1"/>
  <c r="Q612" i="1"/>
  <c r="S612" i="1" s="1"/>
  <c r="W612" i="1" s="1"/>
  <c r="U612" i="1" s="1"/>
  <c r="Q848" i="1"/>
  <c r="S848" i="1" s="1"/>
  <c r="W848" i="1" s="1"/>
  <c r="U848" i="1" s="1"/>
  <c r="O848" i="1"/>
  <c r="O663" i="1"/>
  <c r="Q663" i="1"/>
  <c r="S663" i="1" s="1"/>
  <c r="W663" i="1" s="1"/>
  <c r="U663" i="1" s="1"/>
  <c r="O835" i="1"/>
  <c r="Q835" i="1"/>
  <c r="S835" i="1" s="1"/>
  <c r="W835" i="1" s="1"/>
  <c r="U835" i="1" s="1"/>
  <c r="O770" i="1"/>
  <c r="Q770" i="1"/>
  <c r="S770" i="1" s="1"/>
  <c r="W770" i="1" s="1"/>
  <c r="U770" i="1" s="1"/>
  <c r="O819" i="1"/>
  <c r="Q819" i="1"/>
  <c r="S819" i="1" s="1"/>
  <c r="W819" i="1" s="1"/>
  <c r="U819" i="1" s="1"/>
  <c r="Q903" i="1"/>
  <c r="S903" i="1" s="1"/>
  <c r="W903" i="1" s="1"/>
  <c r="U903" i="1" s="1"/>
  <c r="O903" i="1"/>
  <c r="Q949" i="1"/>
  <c r="S949" i="1" s="1"/>
  <c r="W949" i="1" s="1"/>
  <c r="U949" i="1" s="1"/>
  <c r="O949" i="1"/>
  <c r="O787" i="1"/>
  <c r="Q787" i="1"/>
  <c r="S787" i="1" s="1"/>
  <c r="W787" i="1" s="1"/>
  <c r="U787" i="1" s="1"/>
  <c r="Q931" i="1"/>
  <c r="S931" i="1" s="1"/>
  <c r="W931" i="1" s="1"/>
  <c r="U931" i="1" s="1"/>
  <c r="O931" i="1"/>
  <c r="Q790" i="1"/>
  <c r="S790" i="1" s="1"/>
  <c r="W790" i="1" s="1"/>
  <c r="U790" i="1" s="1"/>
  <c r="O790" i="1"/>
  <c r="Q879" i="1"/>
  <c r="S879" i="1" s="1"/>
  <c r="W879" i="1" s="1"/>
  <c r="U879" i="1" s="1"/>
  <c r="O879" i="1"/>
  <c r="O914" i="1"/>
  <c r="Q914" i="1"/>
  <c r="S914" i="1" s="1"/>
  <c r="W914" i="1" s="1"/>
  <c r="U914" i="1" s="1"/>
  <c r="Q883" i="1"/>
  <c r="S883" i="1" s="1"/>
  <c r="W883" i="1" s="1"/>
  <c r="U883" i="1" s="1"/>
  <c r="O883" i="1"/>
  <c r="Q1002" i="1"/>
  <c r="S1002" i="1" s="1"/>
  <c r="W1002" i="1" s="1"/>
  <c r="U1002" i="1" s="1"/>
  <c r="O1002" i="1"/>
  <c r="O993" i="1"/>
  <c r="Q993" i="1"/>
  <c r="S993" i="1" s="1"/>
  <c r="W993" i="1" s="1"/>
  <c r="U993" i="1" s="1"/>
  <c r="O982" i="1"/>
  <c r="Q982" i="1"/>
  <c r="S982" i="1" s="1"/>
  <c r="W982" i="1" s="1"/>
  <c r="U982" i="1" s="1"/>
  <c r="Q90" i="1"/>
  <c r="S90" i="1" s="1"/>
  <c r="W90" i="1" s="1"/>
  <c r="U90" i="1" s="1"/>
  <c r="O90" i="1"/>
  <c r="I133" i="1"/>
  <c r="Q467" i="1"/>
  <c r="S467" i="1" s="1"/>
  <c r="W467" i="1" s="1"/>
  <c r="U467" i="1" s="1"/>
  <c r="O467" i="1"/>
  <c r="Q324" i="1"/>
  <c r="S324" i="1" s="1"/>
  <c r="W324" i="1" s="1"/>
  <c r="U324" i="1" s="1"/>
  <c r="O324" i="1"/>
  <c r="Q363" i="1"/>
  <c r="S363" i="1" s="1"/>
  <c r="W363" i="1" s="1"/>
  <c r="U363" i="1" s="1"/>
  <c r="O363" i="1"/>
  <c r="Q488" i="1"/>
  <c r="S488" i="1" s="1"/>
  <c r="W488" i="1" s="1"/>
  <c r="U488" i="1" s="1"/>
  <c r="O488" i="1"/>
  <c r="Q416" i="1"/>
  <c r="S416" i="1" s="1"/>
  <c r="W416" i="1" s="1"/>
  <c r="U416" i="1" s="1"/>
  <c r="O416" i="1"/>
  <c r="Q477" i="1"/>
  <c r="S477" i="1" s="1"/>
  <c r="W477" i="1" s="1"/>
  <c r="U477" i="1" s="1"/>
  <c r="O477" i="1"/>
  <c r="Q994" i="1"/>
  <c r="S994" i="1" s="1"/>
  <c r="W994" i="1" s="1"/>
  <c r="U994" i="1" s="1"/>
  <c r="O994" i="1"/>
  <c r="O588" i="1"/>
  <c r="Q588" i="1"/>
  <c r="S588" i="1" s="1"/>
  <c r="W588" i="1" s="1"/>
  <c r="U588" i="1" s="1"/>
  <c r="Q661" i="1"/>
  <c r="S661" i="1" s="1"/>
  <c r="W661" i="1" s="1"/>
  <c r="U661" i="1" s="1"/>
  <c r="O661" i="1"/>
  <c r="Q645" i="1"/>
  <c r="S645" i="1" s="1"/>
  <c r="W645" i="1" s="1"/>
  <c r="U645" i="1" s="1"/>
  <c r="O645" i="1"/>
  <c r="Q872" i="1"/>
  <c r="S872" i="1" s="1"/>
  <c r="W872" i="1" s="1"/>
  <c r="U872" i="1" s="1"/>
  <c r="O872" i="1"/>
  <c r="Q977" i="1"/>
  <c r="S977" i="1" s="1"/>
  <c r="W977" i="1" s="1"/>
  <c r="U977" i="1" s="1"/>
  <c r="O977" i="1"/>
  <c r="Q953" i="1"/>
  <c r="S953" i="1" s="1"/>
  <c r="W953" i="1" s="1"/>
  <c r="U953" i="1" s="1"/>
  <c r="O953" i="1"/>
  <c r="Q924" i="1"/>
  <c r="S924" i="1" s="1"/>
  <c r="W924" i="1" s="1"/>
  <c r="U924" i="1" s="1"/>
  <c r="O924" i="1"/>
  <c r="Q912" i="1"/>
  <c r="S912" i="1" s="1"/>
  <c r="W912" i="1" s="1"/>
  <c r="U912" i="1" s="1"/>
  <c r="O912" i="1"/>
  <c r="Q174" i="1"/>
  <c r="S174" i="1" s="1"/>
  <c r="W174" i="1" s="1"/>
  <c r="U174" i="1" s="1"/>
  <c r="O174" i="1"/>
  <c r="M345" i="1"/>
  <c r="Y345" i="1" s="1"/>
  <c r="Q310" i="1"/>
  <c r="S310" i="1" s="1"/>
  <c r="W310" i="1" s="1"/>
  <c r="U310" i="1" s="1"/>
  <c r="O310" i="1"/>
  <c r="O45" i="1"/>
  <c r="Q45" i="1"/>
  <c r="S45" i="1" s="1"/>
  <c r="W45" i="1" s="1"/>
  <c r="U45" i="1" s="1"/>
  <c r="Q86" i="1"/>
  <c r="S86" i="1" s="1"/>
  <c r="W86" i="1" s="1"/>
  <c r="U86" i="1" s="1"/>
  <c r="O86" i="1"/>
  <c r="Q288" i="1"/>
  <c r="S288" i="1" s="1"/>
  <c r="W288" i="1" s="1"/>
  <c r="U288" i="1" s="1"/>
  <c r="O288" i="1"/>
  <c r="Q452" i="1"/>
  <c r="S452" i="1" s="1"/>
  <c r="W452" i="1" s="1"/>
  <c r="U452" i="1" s="1"/>
  <c r="O452" i="1"/>
  <c r="O47" i="1"/>
  <c r="Q47" i="1"/>
  <c r="S47" i="1" s="1"/>
  <c r="W47" i="1" s="1"/>
  <c r="U47" i="1" s="1"/>
  <c r="Q22" i="1"/>
  <c r="S22" i="1" s="1"/>
  <c r="W22" i="1" s="1"/>
  <c r="U22" i="1" s="1"/>
  <c r="O22" i="1"/>
  <c r="Q237" i="1"/>
  <c r="S237" i="1" s="1"/>
  <c r="W237" i="1" s="1"/>
  <c r="U237" i="1" s="1"/>
  <c r="O237" i="1"/>
  <c r="Q439" i="1"/>
  <c r="S439" i="1" s="1"/>
  <c r="W439" i="1" s="1"/>
  <c r="U439" i="1" s="1"/>
  <c r="O439" i="1"/>
  <c r="Q32" i="1"/>
  <c r="S32" i="1" s="1"/>
  <c r="W32" i="1" s="1"/>
  <c r="U32" i="1" s="1"/>
  <c r="O32" i="1"/>
  <c r="Q130" i="1"/>
  <c r="S130" i="1" s="1"/>
  <c r="W130" i="1" s="1"/>
  <c r="U130" i="1" s="1"/>
  <c r="O130" i="1"/>
  <c r="Q175" i="1"/>
  <c r="S175" i="1" s="1"/>
  <c r="W175" i="1" s="1"/>
  <c r="U175" i="1" s="1"/>
  <c r="O175" i="1"/>
  <c r="Q449" i="1"/>
  <c r="S449" i="1" s="1"/>
  <c r="W449" i="1" s="1"/>
  <c r="U449" i="1" s="1"/>
  <c r="O449" i="1"/>
  <c r="Q399" i="1"/>
  <c r="S399" i="1" s="1"/>
  <c r="W399" i="1" s="1"/>
  <c r="U399" i="1" s="1"/>
  <c r="O399" i="1"/>
  <c r="Q597" i="1"/>
  <c r="S597" i="1" s="1"/>
  <c r="W597" i="1" s="1"/>
  <c r="U597" i="1" s="1"/>
  <c r="O597" i="1"/>
  <c r="O374" i="1"/>
  <c r="Q374" i="1"/>
  <c r="S374" i="1" s="1"/>
  <c r="W374" i="1" s="1"/>
  <c r="U374" i="1" s="1"/>
  <c r="O593" i="1"/>
  <c r="Q593" i="1"/>
  <c r="S593" i="1" s="1"/>
  <c r="W593" i="1" s="1"/>
  <c r="U593" i="1" s="1"/>
  <c r="Q419" i="1"/>
  <c r="S419" i="1" s="1"/>
  <c r="W419" i="1" s="1"/>
  <c r="U419" i="1" s="1"/>
  <c r="O419" i="1"/>
  <c r="O674" i="1"/>
  <c r="Q674" i="1"/>
  <c r="S674" i="1" s="1"/>
  <c r="W674" i="1" s="1"/>
  <c r="U674" i="1" s="1"/>
  <c r="O578" i="1"/>
  <c r="Q578" i="1"/>
  <c r="S578" i="1" s="1"/>
  <c r="W578" i="1" s="1"/>
  <c r="U578" i="1" s="1"/>
  <c r="Q537" i="1"/>
  <c r="S537" i="1" s="1"/>
  <c r="W537" i="1" s="1"/>
  <c r="U537" i="1" s="1"/>
  <c r="O537" i="1"/>
  <c r="Q685" i="1"/>
  <c r="S685" i="1" s="1"/>
  <c r="W685" i="1" s="1"/>
  <c r="U685" i="1" s="1"/>
  <c r="O685" i="1"/>
  <c r="Q536" i="1"/>
  <c r="S536" i="1" s="1"/>
  <c r="W536" i="1" s="1"/>
  <c r="U536" i="1" s="1"/>
  <c r="O536" i="1"/>
  <c r="Q546" i="1"/>
  <c r="S546" i="1" s="1"/>
  <c r="W546" i="1" s="1"/>
  <c r="U546" i="1" s="1"/>
  <c r="O546" i="1"/>
  <c r="Q598" i="1"/>
  <c r="S598" i="1" s="1"/>
  <c r="W598" i="1" s="1"/>
  <c r="U598" i="1" s="1"/>
  <c r="O598" i="1"/>
  <c r="O649" i="1"/>
  <c r="Q649" i="1"/>
  <c r="S649" i="1" s="1"/>
  <c r="W649" i="1" s="1"/>
  <c r="U649" i="1" s="1"/>
  <c r="Q701" i="1"/>
  <c r="S701" i="1" s="1"/>
  <c r="W701" i="1" s="1"/>
  <c r="U701" i="1" s="1"/>
  <c r="O701" i="1"/>
  <c r="Q957" i="1"/>
  <c r="S957" i="1" s="1"/>
  <c r="W957" i="1" s="1"/>
  <c r="U957" i="1" s="1"/>
  <c r="O957" i="1"/>
  <c r="Q882" i="1"/>
  <c r="S882" i="1" s="1"/>
  <c r="W882" i="1" s="1"/>
  <c r="U882" i="1" s="1"/>
  <c r="O882" i="1"/>
  <c r="O865" i="1"/>
  <c r="Q865" i="1"/>
  <c r="S865" i="1" s="1"/>
  <c r="W865" i="1" s="1"/>
  <c r="U865" i="1" s="1"/>
  <c r="Q871" i="1"/>
  <c r="S871" i="1" s="1"/>
  <c r="W871" i="1" s="1"/>
  <c r="U871" i="1" s="1"/>
  <c r="O871" i="1"/>
  <c r="Q869" i="1"/>
  <c r="S869" i="1" s="1"/>
  <c r="W869" i="1" s="1"/>
  <c r="U869" i="1" s="1"/>
  <c r="O869" i="1"/>
  <c r="Q979" i="1"/>
  <c r="S979" i="1" s="1"/>
  <c r="W979" i="1" s="1"/>
  <c r="U979" i="1" s="1"/>
  <c r="O979" i="1"/>
  <c r="Q112" i="1"/>
  <c r="S112" i="1" s="1"/>
  <c r="W112" i="1" s="1"/>
  <c r="U112" i="1" s="1"/>
  <c r="O112" i="1"/>
  <c r="Q315" i="1"/>
  <c r="S315" i="1" s="1"/>
  <c r="W315" i="1" s="1"/>
  <c r="U315" i="1" s="1"/>
  <c r="O315" i="1"/>
  <c r="Q630" i="1"/>
  <c r="S630" i="1" s="1"/>
  <c r="W630" i="1" s="1"/>
  <c r="U630" i="1" s="1"/>
  <c r="O630" i="1"/>
  <c r="M284" i="1"/>
  <c r="Y284" i="1" s="1"/>
  <c r="Q429" i="1"/>
  <c r="S429" i="1" s="1"/>
  <c r="W429" i="1" s="1"/>
  <c r="U429" i="1" s="1"/>
  <c r="O429" i="1"/>
  <c r="M533" i="1"/>
  <c r="Y533" i="1" s="1"/>
  <c r="M378" i="1"/>
  <c r="Y378" i="1" s="1"/>
  <c r="M559" i="1"/>
  <c r="Y559" i="1" s="1"/>
  <c r="M752" i="1"/>
  <c r="Y752" i="1" s="1"/>
  <c r="M1003" i="1"/>
  <c r="Y1003" i="1" s="1"/>
  <c r="Q551" i="1"/>
  <c r="S551" i="1" s="1"/>
  <c r="W551" i="1" s="1"/>
  <c r="U551" i="1" s="1"/>
  <c r="O551" i="1"/>
  <c r="O158" i="1"/>
  <c r="Q158" i="1"/>
  <c r="S158" i="1" s="1"/>
  <c r="W158" i="1" s="1"/>
  <c r="U158" i="1" s="1"/>
  <c r="Q963" i="1"/>
  <c r="S963" i="1" s="1"/>
  <c r="W963" i="1" s="1"/>
  <c r="U963" i="1" s="1"/>
  <c r="O963" i="1"/>
  <c r="Q29" i="1"/>
  <c r="S29" i="1" s="1"/>
  <c r="W29" i="1" s="1"/>
  <c r="U29" i="1" s="1"/>
  <c r="O29" i="1"/>
  <c r="O127" i="1"/>
  <c r="Q127" i="1"/>
  <c r="S127" i="1" s="1"/>
  <c r="W127" i="1" s="1"/>
  <c r="U127" i="1" s="1"/>
  <c r="Q243" i="1"/>
  <c r="S243" i="1" s="1"/>
  <c r="W243" i="1" s="1"/>
  <c r="U243" i="1" s="1"/>
  <c r="O243" i="1"/>
  <c r="O258" i="1"/>
  <c r="Q258" i="1"/>
  <c r="S258" i="1" s="1"/>
  <c r="W258" i="1" s="1"/>
  <c r="U258" i="1" s="1"/>
  <c r="Q39" i="1"/>
  <c r="S39" i="1" s="1"/>
  <c r="W39" i="1" s="1"/>
  <c r="U39" i="1" s="1"/>
  <c r="O39" i="1"/>
  <c r="Q428" i="1"/>
  <c r="S428" i="1" s="1"/>
  <c r="W428" i="1" s="1"/>
  <c r="U428" i="1" s="1"/>
  <c r="O428" i="1"/>
  <c r="O513" i="1"/>
  <c r="Q513" i="1"/>
  <c r="S513" i="1" s="1"/>
  <c r="W513" i="1" s="1"/>
  <c r="U513" i="1" s="1"/>
  <c r="Q386" i="1"/>
  <c r="S386" i="1" s="1"/>
  <c r="W386" i="1" s="1"/>
  <c r="U386" i="1" s="1"/>
  <c r="O386" i="1"/>
  <c r="Q410" i="1"/>
  <c r="S410" i="1" s="1"/>
  <c r="W410" i="1" s="1"/>
  <c r="U410" i="1" s="1"/>
  <c r="O410" i="1"/>
  <c r="Q468" i="1"/>
  <c r="S468" i="1" s="1"/>
  <c r="W468" i="1" s="1"/>
  <c r="U468" i="1" s="1"/>
  <c r="O468" i="1"/>
  <c r="Q610" i="1"/>
  <c r="S610" i="1" s="1"/>
  <c r="W610" i="1" s="1"/>
  <c r="U610" i="1" s="1"/>
  <c r="O610" i="1"/>
  <c r="Q283" i="1"/>
  <c r="S283" i="1" s="1"/>
  <c r="W283" i="1" s="1"/>
  <c r="U283" i="1" s="1"/>
  <c r="O283" i="1"/>
  <c r="O601" i="1"/>
  <c r="Q601" i="1"/>
  <c r="S601" i="1" s="1"/>
  <c r="W601" i="1" s="1"/>
  <c r="U601" i="1" s="1"/>
  <c r="Q426" i="1"/>
  <c r="S426" i="1" s="1"/>
  <c r="W426" i="1" s="1"/>
  <c r="U426" i="1" s="1"/>
  <c r="O426" i="1"/>
  <c r="O667" i="1"/>
  <c r="Q667" i="1"/>
  <c r="S667" i="1" s="1"/>
  <c r="W667" i="1" s="1"/>
  <c r="U667" i="1" s="1"/>
  <c r="Q678" i="1"/>
  <c r="S678" i="1" s="1"/>
  <c r="W678" i="1" s="1"/>
  <c r="U678" i="1" s="1"/>
  <c r="O678" i="1"/>
  <c r="O558" i="1"/>
  <c r="Q558" i="1"/>
  <c r="S558" i="1" s="1"/>
  <c r="W558" i="1" s="1"/>
  <c r="U558" i="1" s="1"/>
  <c r="O550" i="1"/>
  <c r="Q550" i="1"/>
  <c r="S550" i="1" s="1"/>
  <c r="W550" i="1" s="1"/>
  <c r="U550" i="1" s="1"/>
  <c r="O690" i="1"/>
  <c r="Q690" i="1"/>
  <c r="S690" i="1" s="1"/>
  <c r="W690" i="1" s="1"/>
  <c r="U690" i="1" s="1"/>
  <c r="Q565" i="1"/>
  <c r="S565" i="1" s="1"/>
  <c r="W565" i="1" s="1"/>
  <c r="U565" i="1" s="1"/>
  <c r="O565" i="1"/>
  <c r="Q733" i="1"/>
  <c r="S733" i="1" s="1"/>
  <c r="W733" i="1" s="1"/>
  <c r="U733" i="1" s="1"/>
  <c r="O733" i="1"/>
  <c r="Q553" i="1"/>
  <c r="S553" i="1" s="1"/>
  <c r="W553" i="1" s="1"/>
  <c r="U553" i="1" s="1"/>
  <c r="O553" i="1"/>
  <c r="O625" i="1"/>
  <c r="Q625" i="1"/>
  <c r="S625" i="1" s="1"/>
  <c r="W625" i="1" s="1"/>
  <c r="U625" i="1" s="1"/>
  <c r="Q845" i="1"/>
  <c r="S845" i="1" s="1"/>
  <c r="W845" i="1" s="1"/>
  <c r="U845" i="1" s="1"/>
  <c r="O845" i="1"/>
  <c r="Q788" i="1"/>
  <c r="S788" i="1" s="1"/>
  <c r="W788" i="1" s="1"/>
  <c r="U788" i="1" s="1"/>
  <c r="O788" i="1"/>
  <c r="Q747" i="1"/>
  <c r="S747" i="1" s="1"/>
  <c r="W747" i="1" s="1"/>
  <c r="U747" i="1" s="1"/>
  <c r="O747" i="1"/>
  <c r="Q780" i="1"/>
  <c r="S780" i="1" s="1"/>
  <c r="W780" i="1" s="1"/>
  <c r="U780" i="1" s="1"/>
  <c r="O780" i="1"/>
  <c r="Q876" i="1"/>
  <c r="S876" i="1" s="1"/>
  <c r="W876" i="1" s="1"/>
  <c r="U876" i="1" s="1"/>
  <c r="O876" i="1"/>
  <c r="Q168" i="1"/>
  <c r="S168" i="1" s="1"/>
  <c r="W168" i="1" s="1"/>
  <c r="U168" i="1" s="1"/>
  <c r="O168" i="1"/>
  <c r="Q697" i="1"/>
  <c r="S697" i="1" s="1"/>
  <c r="W697" i="1" s="1"/>
  <c r="U697" i="1" s="1"/>
  <c r="O697" i="1"/>
  <c r="M310" i="1"/>
  <c r="Y310" i="1" s="1"/>
  <c r="M136" i="1"/>
  <c r="Y136" i="1" s="1"/>
  <c r="M261" i="1"/>
  <c r="Y261" i="1" s="1"/>
  <c r="M130" i="1"/>
  <c r="Y130" i="1" s="1"/>
  <c r="Q23" i="1"/>
  <c r="S23" i="1" s="1"/>
  <c r="W23" i="1" s="1"/>
  <c r="U23" i="1" s="1"/>
  <c r="O23" i="1"/>
  <c r="Q323" i="1"/>
  <c r="S323" i="1" s="1"/>
  <c r="W323" i="1" s="1"/>
  <c r="U323" i="1" s="1"/>
  <c r="O323" i="1"/>
  <c r="M62" i="1"/>
  <c r="Y62" i="1" s="1"/>
  <c r="M125" i="1"/>
  <c r="Y125" i="1" s="1"/>
  <c r="M215" i="1"/>
  <c r="Y215" i="1" s="1"/>
  <c r="M44" i="1"/>
  <c r="Y44" i="1" s="1"/>
  <c r="M226" i="1"/>
  <c r="Y226" i="1" s="1"/>
  <c r="M42" i="1"/>
  <c r="Y42" i="1" s="1"/>
  <c r="M573" i="1"/>
  <c r="Y573" i="1" s="1"/>
  <c r="M634" i="1"/>
  <c r="Y634" i="1" s="1"/>
  <c r="M103" i="1"/>
  <c r="Y103" i="1" s="1"/>
  <c r="M450" i="1"/>
  <c r="Y450" i="1" s="1"/>
  <c r="M154" i="1"/>
  <c r="Y154" i="1" s="1"/>
  <c r="M279" i="1"/>
  <c r="Y279" i="1" s="1"/>
  <c r="M608" i="1"/>
  <c r="Y608" i="1" s="1"/>
  <c r="M361" i="1"/>
  <c r="Y361" i="1" s="1"/>
  <c r="M386" i="1"/>
  <c r="Y386" i="1" s="1"/>
  <c r="M664" i="1"/>
  <c r="Y664" i="1" s="1"/>
  <c r="M732" i="1"/>
  <c r="Y732" i="1" s="1"/>
  <c r="M534" i="1"/>
  <c r="Y534" i="1" s="1"/>
  <c r="M593" i="1"/>
  <c r="Y593" i="1" s="1"/>
  <c r="M671" i="1"/>
  <c r="Y671" i="1" s="1"/>
  <c r="M793" i="1"/>
  <c r="Y793" i="1" s="1"/>
  <c r="M500" i="1"/>
  <c r="Y500" i="1" s="1"/>
  <c r="M569" i="1"/>
  <c r="Y569" i="1" s="1"/>
  <c r="M503" i="1"/>
  <c r="Y503" i="1" s="1"/>
  <c r="M631" i="1"/>
  <c r="Y631" i="1" s="1"/>
  <c r="M734" i="1"/>
  <c r="Y734" i="1" s="1"/>
  <c r="M681" i="1"/>
  <c r="Y681" i="1" s="1"/>
  <c r="M837" i="1"/>
  <c r="Y837" i="1" s="1"/>
  <c r="M846" i="1"/>
  <c r="Y846" i="1" s="1"/>
  <c r="M766" i="1"/>
  <c r="Y766" i="1" s="1"/>
  <c r="M861" i="1"/>
  <c r="Y861" i="1" s="1"/>
  <c r="M873" i="1"/>
  <c r="Y873" i="1" s="1"/>
  <c r="M943" i="1"/>
  <c r="Y943" i="1" s="1"/>
  <c r="M919" i="1"/>
  <c r="Y919" i="1" s="1"/>
  <c r="Q107" i="1"/>
  <c r="S107" i="1" s="1"/>
  <c r="W107" i="1" s="1"/>
  <c r="U107" i="1" s="1"/>
  <c r="O107" i="1"/>
  <c r="Q624" i="1"/>
  <c r="S624" i="1" s="1"/>
  <c r="W624" i="1" s="1"/>
  <c r="U624" i="1" s="1"/>
  <c r="O624" i="1"/>
  <c r="O68" i="1"/>
  <c r="Q68" i="1"/>
  <c r="S68" i="1" s="1"/>
  <c r="W68" i="1" s="1"/>
  <c r="U68" i="1" s="1"/>
  <c r="Q251" i="1"/>
  <c r="S251" i="1" s="1"/>
  <c r="W251" i="1" s="1"/>
  <c r="U251" i="1" s="1"/>
  <c r="O251" i="1"/>
  <c r="Q228" i="1"/>
  <c r="S228" i="1" s="1"/>
  <c r="W228" i="1" s="1"/>
  <c r="U228" i="1" s="1"/>
  <c r="O228" i="1"/>
  <c r="Q43" i="1"/>
  <c r="S43" i="1" s="1"/>
  <c r="W43" i="1" s="1"/>
  <c r="U43" i="1" s="1"/>
  <c r="O43" i="1"/>
  <c r="Q147" i="1"/>
  <c r="S147" i="1" s="1"/>
  <c r="W147" i="1" s="1"/>
  <c r="U147" i="1" s="1"/>
  <c r="O147" i="1"/>
  <c r="Q279" i="1"/>
  <c r="S279" i="1" s="1"/>
  <c r="W279" i="1" s="1"/>
  <c r="U279" i="1" s="1"/>
  <c r="O279" i="1"/>
  <c r="Q474" i="1"/>
  <c r="S474" i="1" s="1"/>
  <c r="W474" i="1" s="1"/>
  <c r="U474" i="1" s="1"/>
  <c r="O474" i="1"/>
  <c r="Q300" i="1"/>
  <c r="S300" i="1" s="1"/>
  <c r="W300" i="1" s="1"/>
  <c r="U300" i="1" s="1"/>
  <c r="O300" i="1"/>
  <c r="Q53" i="1"/>
  <c r="S53" i="1" s="1"/>
  <c r="W53" i="1" s="1"/>
  <c r="U53" i="1" s="1"/>
  <c r="O53" i="1"/>
  <c r="Q150" i="1"/>
  <c r="S150" i="1" s="1"/>
  <c r="W150" i="1" s="1"/>
  <c r="U150" i="1" s="1"/>
  <c r="O150" i="1"/>
  <c r="Q459" i="1"/>
  <c r="S459" i="1" s="1"/>
  <c r="W459" i="1" s="1"/>
  <c r="U459" i="1" s="1"/>
  <c r="O459" i="1"/>
  <c r="O196" i="1"/>
  <c r="Q196" i="1"/>
  <c r="S196" i="1" s="1"/>
  <c r="W196" i="1" s="1"/>
  <c r="U196" i="1" s="1"/>
  <c r="Q767" i="1"/>
  <c r="S767" i="1" s="1"/>
  <c r="W767" i="1" s="1"/>
  <c r="U767" i="1" s="1"/>
  <c r="O767" i="1"/>
  <c r="Q408" i="1"/>
  <c r="S408" i="1" s="1"/>
  <c r="W408" i="1" s="1"/>
  <c r="U408" i="1" s="1"/>
  <c r="O408" i="1"/>
  <c r="O432" i="1"/>
  <c r="Q432" i="1"/>
  <c r="S432" i="1" s="1"/>
  <c r="W432" i="1" s="1"/>
  <c r="U432" i="1" s="1"/>
  <c r="O535" i="1"/>
  <c r="Q535" i="1"/>
  <c r="S535" i="1" s="1"/>
  <c r="W535" i="1" s="1"/>
  <c r="U535" i="1" s="1"/>
  <c r="Q259" i="1"/>
  <c r="S259" i="1" s="1"/>
  <c r="W259" i="1" s="1"/>
  <c r="U259" i="1" s="1"/>
  <c r="O259" i="1"/>
  <c r="Q942" i="1"/>
  <c r="S942" i="1" s="1"/>
  <c r="W942" i="1" s="1"/>
  <c r="U942" i="1" s="1"/>
  <c r="O942" i="1"/>
  <c r="Q297" i="1"/>
  <c r="S297" i="1" s="1"/>
  <c r="W297" i="1" s="1"/>
  <c r="U297" i="1" s="1"/>
  <c r="O297" i="1"/>
  <c r="O395" i="1"/>
  <c r="Q395" i="1"/>
  <c r="S395" i="1" s="1"/>
  <c r="W395" i="1" s="1"/>
  <c r="U395" i="1" s="1"/>
  <c r="O763" i="1"/>
  <c r="Q763" i="1"/>
  <c r="S763" i="1" s="1"/>
  <c r="W763" i="1" s="1"/>
  <c r="U763" i="1" s="1"/>
  <c r="Q620" i="1"/>
  <c r="S620" i="1" s="1"/>
  <c r="W620" i="1" s="1"/>
  <c r="U620" i="1" s="1"/>
  <c r="O620" i="1"/>
  <c r="Q440" i="1"/>
  <c r="S440" i="1" s="1"/>
  <c r="W440" i="1" s="1"/>
  <c r="U440" i="1" s="1"/>
  <c r="O440" i="1"/>
  <c r="Q900" i="1"/>
  <c r="S900" i="1" s="1"/>
  <c r="W900" i="1" s="1"/>
  <c r="U900" i="1" s="1"/>
  <c r="O900" i="1"/>
  <c r="Q757" i="1"/>
  <c r="S757" i="1" s="1"/>
  <c r="W757" i="1" s="1"/>
  <c r="U757" i="1" s="1"/>
  <c r="O757" i="1"/>
  <c r="O686" i="1"/>
  <c r="Q686" i="1"/>
  <c r="S686" i="1" s="1"/>
  <c r="W686" i="1" s="1"/>
  <c r="U686" i="1" s="1"/>
  <c r="Q607" i="1"/>
  <c r="S607" i="1" s="1"/>
  <c r="W607" i="1" s="1"/>
  <c r="U607" i="1" s="1"/>
  <c r="O607" i="1"/>
  <c r="O611" i="1"/>
  <c r="Q611" i="1"/>
  <c r="S611" i="1" s="1"/>
  <c r="W611" i="1" s="1"/>
  <c r="U611" i="1" s="1"/>
  <c r="Q508" i="1"/>
  <c r="S508" i="1" s="1"/>
  <c r="W508" i="1" s="1"/>
  <c r="U508" i="1" s="1"/>
  <c r="O508" i="1"/>
  <c r="Q834" i="1"/>
  <c r="S834" i="1" s="1"/>
  <c r="W834" i="1" s="1"/>
  <c r="U834" i="1" s="1"/>
  <c r="O834" i="1"/>
  <c r="Q722" i="1"/>
  <c r="S722" i="1" s="1"/>
  <c r="W722" i="1" s="1"/>
  <c r="U722" i="1" s="1"/>
  <c r="O722" i="1"/>
  <c r="O613" i="1"/>
  <c r="Q613" i="1"/>
  <c r="S613" i="1" s="1"/>
  <c r="W613" i="1" s="1"/>
  <c r="U613" i="1" s="1"/>
  <c r="Q758" i="1"/>
  <c r="S758" i="1" s="1"/>
  <c r="W758" i="1" s="1"/>
  <c r="U758" i="1" s="1"/>
  <c r="O758" i="1"/>
  <c r="Q567" i="1"/>
  <c r="S567" i="1" s="1"/>
  <c r="W567" i="1" s="1"/>
  <c r="U567" i="1" s="1"/>
  <c r="O567" i="1"/>
  <c r="Q696" i="1"/>
  <c r="S696" i="1" s="1"/>
  <c r="W696" i="1" s="1"/>
  <c r="U696" i="1" s="1"/>
  <c r="O696" i="1"/>
  <c r="O719" i="1"/>
  <c r="Q719" i="1"/>
  <c r="S719" i="1" s="1"/>
  <c r="W719" i="1" s="1"/>
  <c r="U719" i="1" s="1"/>
  <c r="Q633" i="1"/>
  <c r="S633" i="1" s="1"/>
  <c r="W633" i="1" s="1"/>
  <c r="U633" i="1" s="1"/>
  <c r="O633" i="1"/>
  <c r="Q981" i="1"/>
  <c r="S981" i="1" s="1"/>
  <c r="W981" i="1" s="1"/>
  <c r="U981" i="1" s="1"/>
  <c r="O981" i="1"/>
  <c r="Q670" i="1"/>
  <c r="S670" i="1" s="1"/>
  <c r="W670" i="1" s="1"/>
  <c r="U670" i="1" s="1"/>
  <c r="O670" i="1"/>
  <c r="Q868" i="1"/>
  <c r="S868" i="1" s="1"/>
  <c r="W868" i="1" s="1"/>
  <c r="U868" i="1" s="1"/>
  <c r="O868" i="1"/>
  <c r="Q772" i="1"/>
  <c r="S772" i="1" s="1"/>
  <c r="W772" i="1" s="1"/>
  <c r="U772" i="1" s="1"/>
  <c r="O772" i="1"/>
  <c r="Q821" i="1"/>
  <c r="S821" i="1" s="1"/>
  <c r="W821" i="1" s="1"/>
  <c r="U821" i="1" s="1"/>
  <c r="O821" i="1"/>
  <c r="Q936" i="1"/>
  <c r="S936" i="1" s="1"/>
  <c r="W936" i="1" s="1"/>
  <c r="U936" i="1" s="1"/>
  <c r="O936" i="1"/>
  <c r="Q955" i="1"/>
  <c r="S955" i="1" s="1"/>
  <c r="W955" i="1" s="1"/>
  <c r="U955" i="1" s="1"/>
  <c r="O955" i="1"/>
  <c r="Q794" i="1"/>
  <c r="S794" i="1" s="1"/>
  <c r="W794" i="1" s="1"/>
  <c r="U794" i="1" s="1"/>
  <c r="O794" i="1"/>
  <c r="O950" i="1"/>
  <c r="Q950" i="1"/>
  <c r="S950" i="1" s="1"/>
  <c r="W950" i="1" s="1"/>
  <c r="U950" i="1" s="1"/>
  <c r="Q797" i="1"/>
  <c r="S797" i="1" s="1"/>
  <c r="W797" i="1" s="1"/>
  <c r="U797" i="1" s="1"/>
  <c r="O797" i="1"/>
  <c r="Q904" i="1"/>
  <c r="S904" i="1" s="1"/>
  <c r="W904" i="1" s="1"/>
  <c r="U904" i="1" s="1"/>
  <c r="O904" i="1"/>
  <c r="O918" i="1"/>
  <c r="Q918" i="1"/>
  <c r="S918" i="1" s="1"/>
  <c r="W918" i="1" s="1"/>
  <c r="U918" i="1" s="1"/>
  <c r="Q890" i="1"/>
  <c r="S890" i="1" s="1"/>
  <c r="W890" i="1" s="1"/>
  <c r="U890" i="1" s="1"/>
  <c r="O890" i="1"/>
  <c r="Q902" i="1"/>
  <c r="S902" i="1" s="1"/>
  <c r="W902" i="1" s="1"/>
  <c r="U902" i="1" s="1"/>
  <c r="O902" i="1"/>
  <c r="Q1000" i="1"/>
  <c r="S1000" i="1" s="1"/>
  <c r="W1000" i="1" s="1"/>
  <c r="U1000" i="1" s="1"/>
  <c r="O1000" i="1"/>
  <c r="Q989" i="1"/>
  <c r="S989" i="1" s="1"/>
  <c r="W989" i="1" s="1"/>
  <c r="U989" i="1" s="1"/>
  <c r="O989" i="1"/>
  <c r="Q331" i="1"/>
  <c r="S331" i="1" s="1"/>
  <c r="W331" i="1" s="1"/>
  <c r="U331" i="1" s="1"/>
  <c r="O331" i="1"/>
  <c r="M195" i="1"/>
  <c r="Y195" i="1" s="1"/>
  <c r="M88" i="1"/>
  <c r="Y88" i="1" s="1"/>
  <c r="M134" i="1"/>
  <c r="Q268" i="1"/>
  <c r="S268" i="1" s="1"/>
  <c r="W268" i="1" s="1"/>
  <c r="U268" i="1" s="1"/>
  <c r="O268" i="1"/>
  <c r="Q401" i="1"/>
  <c r="S401" i="1" s="1"/>
  <c r="W401" i="1" s="1"/>
  <c r="U401" i="1" s="1"/>
  <c r="O401" i="1"/>
  <c r="Q727" i="1"/>
  <c r="S727" i="1" s="1"/>
  <c r="W727" i="1" s="1"/>
  <c r="U727" i="1" s="1"/>
  <c r="O727" i="1"/>
  <c r="Q406" i="1"/>
  <c r="S406" i="1" s="1"/>
  <c r="W406" i="1" s="1"/>
  <c r="U406" i="1" s="1"/>
  <c r="O406" i="1"/>
  <c r="Q64" i="1"/>
  <c r="S64" i="1" s="1"/>
  <c r="W64" i="1" s="1"/>
  <c r="U64" i="1" s="1"/>
  <c r="O64" i="1"/>
  <c r="Q316" i="1"/>
  <c r="S316" i="1" s="1"/>
  <c r="W316" i="1" s="1"/>
  <c r="U316" i="1" s="1"/>
  <c r="O316" i="1"/>
  <c r="Q74" i="1"/>
  <c r="S74" i="1" s="1"/>
  <c r="W74" i="1" s="1"/>
  <c r="U74" i="1" s="1"/>
  <c r="O74" i="1"/>
  <c r="Q635" i="1"/>
  <c r="S635" i="1" s="1"/>
  <c r="W635" i="1" s="1"/>
  <c r="U635" i="1" s="1"/>
  <c r="O635" i="1"/>
  <c r="O285" i="1"/>
  <c r="Q285" i="1"/>
  <c r="S285" i="1" s="1"/>
  <c r="W285" i="1" s="1"/>
  <c r="U285" i="1" s="1"/>
  <c r="Q382" i="1"/>
  <c r="S382" i="1" s="1"/>
  <c r="W382" i="1" s="1"/>
  <c r="U382" i="1" s="1"/>
  <c r="O382" i="1"/>
  <c r="Q318" i="1"/>
  <c r="S318" i="1" s="1"/>
  <c r="W318" i="1" s="1"/>
  <c r="U318" i="1" s="1"/>
  <c r="O318" i="1"/>
  <c r="Q838" i="1"/>
  <c r="S838" i="1" s="1"/>
  <c r="W838" i="1" s="1"/>
  <c r="U838" i="1" s="1"/>
  <c r="O838" i="1"/>
  <c r="O507" i="1"/>
  <c r="Q507" i="1"/>
  <c r="S507" i="1" s="1"/>
  <c r="W507" i="1" s="1"/>
  <c r="U507" i="1" s="1"/>
  <c r="Q672" i="1"/>
  <c r="S672" i="1" s="1"/>
  <c r="W672" i="1" s="1"/>
  <c r="U672" i="1" s="1"/>
  <c r="O672" i="1"/>
  <c r="Q573" i="1"/>
  <c r="S573" i="1" s="1"/>
  <c r="W573" i="1" s="1"/>
  <c r="U573" i="1" s="1"/>
  <c r="O573" i="1"/>
  <c r="Q668" i="1"/>
  <c r="S668" i="1" s="1"/>
  <c r="W668" i="1" s="1"/>
  <c r="U668" i="1" s="1"/>
  <c r="O668" i="1"/>
  <c r="Q706" i="1"/>
  <c r="S706" i="1" s="1"/>
  <c r="W706" i="1" s="1"/>
  <c r="U706" i="1" s="1"/>
  <c r="O706" i="1"/>
  <c r="O711" i="1"/>
  <c r="Q711" i="1"/>
  <c r="S711" i="1" s="1"/>
  <c r="W711" i="1" s="1"/>
  <c r="U711" i="1" s="1"/>
  <c r="Q881" i="1"/>
  <c r="S881" i="1" s="1"/>
  <c r="W881" i="1" s="1"/>
  <c r="U881" i="1" s="1"/>
  <c r="O881" i="1"/>
  <c r="Q815" i="1"/>
  <c r="S815" i="1" s="1"/>
  <c r="W815" i="1" s="1"/>
  <c r="U815" i="1" s="1"/>
  <c r="O815" i="1"/>
  <c r="Q818" i="1"/>
  <c r="S818" i="1" s="1"/>
  <c r="W818" i="1" s="1"/>
  <c r="U818" i="1" s="1"/>
  <c r="O818" i="1"/>
  <c r="O923" i="1"/>
  <c r="Q923" i="1"/>
  <c r="S923" i="1" s="1"/>
  <c r="W923" i="1" s="1"/>
  <c r="U923" i="1" s="1"/>
  <c r="Q781" i="1"/>
  <c r="S781" i="1" s="1"/>
  <c r="W781" i="1" s="1"/>
  <c r="U781" i="1" s="1"/>
  <c r="O781" i="1"/>
  <c r="M535" i="1"/>
  <c r="Y535" i="1" s="1"/>
  <c r="M521" i="1"/>
  <c r="Y521" i="1" s="1"/>
  <c r="Q502" i="1"/>
  <c r="S502" i="1" s="1"/>
  <c r="W502" i="1" s="1"/>
  <c r="U502" i="1" s="1"/>
  <c r="O502" i="1"/>
  <c r="Q831" i="1"/>
  <c r="S831" i="1" s="1"/>
  <c r="W831" i="1" s="1"/>
  <c r="U831" i="1" s="1"/>
  <c r="O831" i="1"/>
  <c r="O233" i="1"/>
  <c r="Q233" i="1"/>
  <c r="S233" i="1" s="1"/>
  <c r="W233" i="1" s="1"/>
  <c r="U233" i="1" s="1"/>
  <c r="Q424" i="1"/>
  <c r="S424" i="1" s="1"/>
  <c r="W424" i="1" s="1"/>
  <c r="U424" i="1" s="1"/>
  <c r="O424" i="1"/>
  <c r="Q375" i="1"/>
  <c r="S375" i="1" s="1"/>
  <c r="W375" i="1" s="1"/>
  <c r="U375" i="1" s="1"/>
  <c r="O375" i="1"/>
  <c r="Q250" i="1"/>
  <c r="S250" i="1" s="1"/>
  <c r="W250" i="1" s="1"/>
  <c r="U250" i="1" s="1"/>
  <c r="O250" i="1"/>
  <c r="O569" i="1"/>
  <c r="Q569" i="1"/>
  <c r="S569" i="1" s="1"/>
  <c r="W569" i="1" s="1"/>
  <c r="U569" i="1" s="1"/>
  <c r="Q637" i="1"/>
  <c r="S637" i="1" s="1"/>
  <c r="W637" i="1" s="1"/>
  <c r="U637" i="1" s="1"/>
  <c r="O637" i="1"/>
  <c r="O545" i="1"/>
  <c r="Q545" i="1"/>
  <c r="S545" i="1" s="1"/>
  <c r="W545" i="1" s="1"/>
  <c r="U545" i="1" s="1"/>
  <c r="Q795" i="1"/>
  <c r="S795" i="1" s="1"/>
  <c r="W795" i="1" s="1"/>
  <c r="U795" i="1" s="1"/>
  <c r="O795" i="1"/>
  <c r="O901" i="1"/>
  <c r="Q901" i="1"/>
  <c r="S901" i="1" s="1"/>
  <c r="W901" i="1" s="1"/>
  <c r="U901" i="1" s="1"/>
  <c r="O726" i="1"/>
  <c r="Q726" i="1"/>
  <c r="S726" i="1" s="1"/>
  <c r="W726" i="1" s="1"/>
  <c r="U726" i="1" s="1"/>
  <c r="Q622" i="1"/>
  <c r="S622" i="1" s="1"/>
  <c r="W622" i="1" s="1"/>
  <c r="U622" i="1" s="1"/>
  <c r="O622" i="1"/>
  <c r="Q779" i="1"/>
  <c r="S779" i="1" s="1"/>
  <c r="W779" i="1" s="1"/>
  <c r="U779" i="1" s="1"/>
  <c r="O779" i="1"/>
  <c r="Q855" i="1"/>
  <c r="S855" i="1" s="1"/>
  <c r="W855" i="1" s="1"/>
  <c r="U855" i="1" s="1"/>
  <c r="O855" i="1"/>
  <c r="Q773" i="1"/>
  <c r="S773" i="1" s="1"/>
  <c r="W773" i="1" s="1"/>
  <c r="U773" i="1" s="1"/>
  <c r="O773" i="1"/>
  <c r="Q776" i="1"/>
  <c r="S776" i="1" s="1"/>
  <c r="W776" i="1" s="1"/>
  <c r="U776" i="1" s="1"/>
  <c r="O776" i="1"/>
  <c r="Q906" i="1"/>
  <c r="S906" i="1" s="1"/>
  <c r="W906" i="1" s="1"/>
  <c r="U906" i="1" s="1"/>
  <c r="O906" i="1"/>
  <c r="Q980" i="1"/>
  <c r="S980" i="1" s="1"/>
  <c r="W980" i="1" s="1"/>
  <c r="U980" i="1" s="1"/>
  <c r="O980" i="1"/>
  <c r="Q968" i="1"/>
  <c r="S968" i="1" s="1"/>
  <c r="W968" i="1" s="1"/>
  <c r="U968" i="1" s="1"/>
  <c r="O968" i="1"/>
  <c r="Q370" i="1"/>
  <c r="S370" i="1" s="1"/>
  <c r="W370" i="1" s="1"/>
  <c r="U370" i="1" s="1"/>
  <c r="O370" i="1"/>
  <c r="Q187" i="1"/>
  <c r="S187" i="1" s="1"/>
  <c r="W187" i="1" s="1"/>
  <c r="U187" i="1" s="1"/>
  <c r="O187" i="1"/>
  <c r="Q746" i="1"/>
  <c r="S746" i="1" s="1"/>
  <c r="W746" i="1" s="1"/>
  <c r="U746" i="1" s="1"/>
  <c r="O746" i="1"/>
  <c r="Q350" i="1"/>
  <c r="S350" i="1" s="1"/>
  <c r="W350" i="1" s="1"/>
  <c r="U350" i="1" s="1"/>
  <c r="O350" i="1"/>
  <c r="O153" i="1"/>
  <c r="Q153" i="1"/>
  <c r="S153" i="1" s="1"/>
  <c r="W153" i="1" s="1"/>
  <c r="U153" i="1" s="1"/>
  <c r="Q49" i="1"/>
  <c r="S49" i="1" s="1"/>
  <c r="W49" i="1" s="1"/>
  <c r="U49" i="1" s="1"/>
  <c r="O49" i="1"/>
  <c r="M89" i="1"/>
  <c r="Y89" i="1" s="1"/>
  <c r="J235" i="1"/>
  <c r="M237" i="1"/>
  <c r="Y237" i="1" s="1"/>
  <c r="M242" i="1"/>
  <c r="Y242" i="1" s="1"/>
  <c r="M280" i="1"/>
  <c r="Y280" i="1" s="1"/>
  <c r="M850" i="1"/>
  <c r="Y850" i="1" s="1"/>
  <c r="Q129" i="1"/>
  <c r="S129" i="1" s="1"/>
  <c r="W129" i="1" s="1"/>
  <c r="U129" i="1" s="1"/>
  <c r="O129" i="1"/>
  <c r="Q136" i="1"/>
  <c r="S136" i="1" s="1"/>
  <c r="W136" i="1" s="1"/>
  <c r="U136" i="1" s="1"/>
  <c r="O136" i="1"/>
  <c r="Q381" i="1"/>
  <c r="S381" i="1" s="1"/>
  <c r="W381" i="1" s="1"/>
  <c r="U381" i="1" s="1"/>
  <c r="O381" i="1"/>
  <c r="O800" i="1"/>
  <c r="Q800" i="1"/>
  <c r="S800" i="1" s="1"/>
  <c r="W800" i="1" s="1"/>
  <c r="U800" i="1" s="1"/>
  <c r="Q605" i="1"/>
  <c r="S605" i="1" s="1"/>
  <c r="W605" i="1" s="1"/>
  <c r="U605" i="1" s="1"/>
  <c r="O605" i="1"/>
  <c r="Q796" i="1"/>
  <c r="S796" i="1" s="1"/>
  <c r="W796" i="1" s="1"/>
  <c r="U796" i="1" s="1"/>
  <c r="O796" i="1"/>
  <c r="Q915" i="1"/>
  <c r="S915" i="1" s="1"/>
  <c r="W915" i="1" s="1"/>
  <c r="U915" i="1" s="1"/>
  <c r="O915" i="1"/>
  <c r="Q910" i="1"/>
  <c r="S910" i="1" s="1"/>
  <c r="W910" i="1" s="1"/>
  <c r="U910" i="1" s="1"/>
  <c r="O910" i="1"/>
  <c r="Q986" i="1"/>
  <c r="S986" i="1" s="1"/>
  <c r="W986" i="1" s="1"/>
  <c r="U986" i="1" s="1"/>
  <c r="O986" i="1"/>
  <c r="O639" i="1"/>
  <c r="Q639" i="1"/>
  <c r="S639" i="1" s="1"/>
  <c r="W639" i="1" s="1"/>
  <c r="U639" i="1" s="1"/>
  <c r="Q282" i="1"/>
  <c r="S282" i="1" s="1"/>
  <c r="W282" i="1" s="1"/>
  <c r="U282" i="1" s="1"/>
  <c r="O282" i="1"/>
  <c r="Q162" i="1"/>
  <c r="S162" i="1" s="1"/>
  <c r="W162" i="1" s="1"/>
  <c r="U162" i="1" s="1"/>
  <c r="O162" i="1"/>
  <c r="M471" i="1"/>
  <c r="Y471" i="1" s="1"/>
  <c r="Q121" i="1"/>
  <c r="S121" i="1" s="1"/>
  <c r="W121" i="1" s="1"/>
  <c r="U121" i="1" s="1"/>
  <c r="O121" i="1"/>
  <c r="M21" i="1"/>
  <c r="Y21" i="1" s="1"/>
  <c r="Q306" i="1"/>
  <c r="S306" i="1" s="1"/>
  <c r="W306" i="1" s="1"/>
  <c r="U306" i="1" s="1"/>
  <c r="O306" i="1"/>
  <c r="M184" i="1"/>
  <c r="Y184" i="1" s="1"/>
  <c r="Q257" i="1"/>
  <c r="S257" i="1" s="1"/>
  <c r="W257" i="1" s="1"/>
  <c r="U257" i="1" s="1"/>
  <c r="O257" i="1"/>
  <c r="M1010" i="1"/>
  <c r="J1019" i="1"/>
  <c r="Q359" i="1"/>
  <c r="S359" i="1" s="1"/>
  <c r="W359" i="1" s="1"/>
  <c r="U359" i="1" s="1"/>
  <c r="O359" i="1"/>
  <c r="Q207" i="1"/>
  <c r="S207" i="1" s="1"/>
  <c r="W207" i="1" s="1"/>
  <c r="U207" i="1" s="1"/>
  <c r="O207" i="1"/>
  <c r="Q125" i="1"/>
  <c r="S125" i="1" s="1"/>
  <c r="W125" i="1" s="1"/>
  <c r="U125" i="1" s="1"/>
  <c r="O125" i="1"/>
  <c r="Q195" i="1"/>
  <c r="S195" i="1" s="1"/>
  <c r="W195" i="1" s="1"/>
  <c r="U195" i="1" s="1"/>
  <c r="O195" i="1"/>
  <c r="M20" i="1"/>
  <c r="Y20" i="1" s="1"/>
  <c r="M624" i="1"/>
  <c r="Y624" i="1" s="1"/>
  <c r="M110" i="1"/>
  <c r="Y110" i="1" s="1"/>
  <c r="M587" i="1"/>
  <c r="Y587" i="1" s="1"/>
  <c r="M50" i="1"/>
  <c r="Y50" i="1" s="1"/>
  <c r="M404" i="1"/>
  <c r="Y404" i="1" s="1"/>
  <c r="M365" i="1"/>
  <c r="Y365" i="1" s="1"/>
  <c r="M470" i="1"/>
  <c r="Y470" i="1" s="1"/>
  <c r="M737" i="1"/>
  <c r="Y737" i="1" s="1"/>
  <c r="M781" i="1"/>
  <c r="Y781" i="1" s="1"/>
  <c r="M374" i="1"/>
  <c r="Y374" i="1" s="1"/>
  <c r="M601" i="1"/>
  <c r="Y601" i="1" s="1"/>
  <c r="M767" i="1"/>
  <c r="Y767" i="1" s="1"/>
  <c r="M804" i="1"/>
  <c r="Y804" i="1" s="1"/>
  <c r="M810" i="1"/>
  <c r="Y810" i="1" s="1"/>
  <c r="M825" i="1"/>
  <c r="Y825" i="1" s="1"/>
  <c r="M725" i="1"/>
  <c r="Y725" i="1" s="1"/>
  <c r="M744" i="1"/>
  <c r="Y744" i="1" s="1"/>
  <c r="M688" i="1"/>
  <c r="Y688" i="1" s="1"/>
  <c r="M885" i="1"/>
  <c r="Y885" i="1" s="1"/>
  <c r="M917" i="1"/>
  <c r="Y917" i="1" s="1"/>
  <c r="M773" i="1"/>
  <c r="Y773" i="1" s="1"/>
  <c r="M865" i="1"/>
  <c r="Y865" i="1" s="1"/>
  <c r="M880" i="1"/>
  <c r="Y880" i="1" s="1"/>
  <c r="M862" i="1"/>
  <c r="Y862" i="1" s="1"/>
  <c r="M941" i="1"/>
  <c r="Y941" i="1" s="1"/>
  <c r="M930" i="1"/>
  <c r="Y930" i="1" s="1"/>
  <c r="M926" i="1"/>
  <c r="Y926" i="1" s="1"/>
  <c r="Q414" i="1"/>
  <c r="S414" i="1" s="1"/>
  <c r="W414" i="1" s="1"/>
  <c r="U414" i="1" s="1"/>
  <c r="O414" i="1"/>
  <c r="Q379" i="1"/>
  <c r="S379" i="1" s="1"/>
  <c r="W379" i="1" s="1"/>
  <c r="U379" i="1" s="1"/>
  <c r="O379" i="1"/>
  <c r="O75" i="1"/>
  <c r="Q75" i="1"/>
  <c r="S75" i="1" s="1"/>
  <c r="W75" i="1" s="1"/>
  <c r="U75" i="1" s="1"/>
  <c r="Q302" i="1"/>
  <c r="S302" i="1" s="1"/>
  <c r="W302" i="1" s="1"/>
  <c r="U302" i="1" s="1"/>
  <c r="O302" i="1"/>
  <c r="O262" i="1"/>
  <c r="Q262" i="1"/>
  <c r="S262" i="1" s="1"/>
  <c r="W262" i="1" s="1"/>
  <c r="U262" i="1" s="1"/>
  <c r="Q50" i="1"/>
  <c r="S50" i="1" s="1"/>
  <c r="W50" i="1" s="1"/>
  <c r="U50" i="1" s="1"/>
  <c r="O50" i="1"/>
  <c r="O154" i="1"/>
  <c r="Q154" i="1"/>
  <c r="S154" i="1" s="1"/>
  <c r="W154" i="1" s="1"/>
  <c r="U154" i="1" s="1"/>
  <c r="Q281" i="1"/>
  <c r="S281" i="1" s="1"/>
  <c r="W281" i="1" s="1"/>
  <c r="U281" i="1" s="1"/>
  <c r="O281" i="1"/>
  <c r="Q504" i="1"/>
  <c r="S504" i="1" s="1"/>
  <c r="W504" i="1" s="1"/>
  <c r="U504" i="1" s="1"/>
  <c r="O504" i="1"/>
  <c r="O303" i="1"/>
  <c r="Q303" i="1"/>
  <c r="S303" i="1" s="1"/>
  <c r="W303" i="1" s="1"/>
  <c r="U303" i="1" s="1"/>
  <c r="Q60" i="1"/>
  <c r="S60" i="1" s="1"/>
  <c r="W60" i="1" s="1"/>
  <c r="U60" i="1" s="1"/>
  <c r="O60" i="1"/>
  <c r="Q157" i="1"/>
  <c r="S157" i="1" s="1"/>
  <c r="W157" i="1" s="1"/>
  <c r="U157" i="1" s="1"/>
  <c r="O157" i="1"/>
  <c r="O471" i="1"/>
  <c r="Q471" i="1"/>
  <c r="S471" i="1" s="1"/>
  <c r="W471" i="1" s="1"/>
  <c r="U471" i="1" s="1"/>
  <c r="Q203" i="1"/>
  <c r="S203" i="1" s="1"/>
  <c r="W203" i="1" s="1"/>
  <c r="U203" i="1" s="1"/>
  <c r="O203" i="1"/>
  <c r="Q878" i="1"/>
  <c r="S878" i="1" s="1"/>
  <c r="W878" i="1" s="1"/>
  <c r="U878" i="1" s="1"/>
  <c r="O878" i="1"/>
  <c r="Q456" i="1"/>
  <c r="S456" i="1" s="1"/>
  <c r="W456" i="1" s="1"/>
  <c r="U456" i="1" s="1"/>
  <c r="O456" i="1"/>
  <c r="Q443" i="1"/>
  <c r="S443" i="1" s="1"/>
  <c r="W443" i="1" s="1"/>
  <c r="U443" i="1" s="1"/>
  <c r="O443" i="1"/>
  <c r="Q556" i="1"/>
  <c r="S556" i="1" s="1"/>
  <c r="W556" i="1" s="1"/>
  <c r="U556" i="1" s="1"/>
  <c r="O556" i="1"/>
  <c r="O307" i="1"/>
  <c r="Q307" i="1"/>
  <c r="S307" i="1" s="1"/>
  <c r="W307" i="1" s="1"/>
  <c r="U307" i="1" s="1"/>
  <c r="O742" i="1"/>
  <c r="Q742" i="1"/>
  <c r="S742" i="1" s="1"/>
  <c r="W742" i="1" s="1"/>
  <c r="U742" i="1" s="1"/>
  <c r="Q304" i="1"/>
  <c r="S304" i="1" s="1"/>
  <c r="W304" i="1" s="1"/>
  <c r="U304" i="1" s="1"/>
  <c r="O304" i="1"/>
  <c r="Q402" i="1"/>
  <c r="S402" i="1" s="1"/>
  <c r="W402" i="1" s="1"/>
  <c r="U402" i="1" s="1"/>
  <c r="O402" i="1"/>
  <c r="Q803" i="1"/>
  <c r="S803" i="1" s="1"/>
  <c r="W803" i="1" s="1"/>
  <c r="U803" i="1" s="1"/>
  <c r="O803" i="1"/>
  <c r="Q679" i="1"/>
  <c r="S679" i="1" s="1"/>
  <c r="W679" i="1" s="1"/>
  <c r="U679" i="1" s="1"/>
  <c r="O679" i="1"/>
  <c r="Q447" i="1"/>
  <c r="S447" i="1" s="1"/>
  <c r="W447" i="1" s="1"/>
  <c r="U447" i="1" s="1"/>
  <c r="O447" i="1"/>
  <c r="Q482" i="1"/>
  <c r="S482" i="1" s="1"/>
  <c r="W482" i="1" s="1"/>
  <c r="U482" i="1" s="1"/>
  <c r="O482" i="1"/>
  <c r="Q856" i="1"/>
  <c r="S856" i="1" s="1"/>
  <c r="W856" i="1" s="1"/>
  <c r="U856" i="1" s="1"/>
  <c r="O856" i="1"/>
  <c r="Q778" i="1"/>
  <c r="S778" i="1" s="1"/>
  <c r="W778" i="1" s="1"/>
  <c r="U778" i="1" s="1"/>
  <c r="O778" i="1"/>
  <c r="O627" i="1"/>
  <c r="Q627" i="1"/>
  <c r="S627" i="1" s="1"/>
  <c r="W627" i="1" s="1"/>
  <c r="U627" i="1" s="1"/>
  <c r="Q621" i="1"/>
  <c r="S621" i="1" s="1"/>
  <c r="W621" i="1" s="1"/>
  <c r="U621" i="1" s="1"/>
  <c r="O621" i="1"/>
  <c r="Q534" i="1"/>
  <c r="S534" i="1" s="1"/>
  <c r="W534" i="1" s="1"/>
  <c r="U534" i="1" s="1"/>
  <c r="O534" i="1"/>
  <c r="O847" i="1"/>
  <c r="Q847" i="1"/>
  <c r="S847" i="1" s="1"/>
  <c r="W847" i="1" s="1"/>
  <c r="U847" i="1" s="1"/>
  <c r="O728" i="1"/>
  <c r="Q728" i="1"/>
  <c r="S728" i="1" s="1"/>
  <c r="W728" i="1" s="1"/>
  <c r="U728" i="1" s="1"/>
  <c r="Q615" i="1"/>
  <c r="S615" i="1" s="1"/>
  <c r="W615" i="1" s="1"/>
  <c r="U615" i="1" s="1"/>
  <c r="O615" i="1"/>
  <c r="O775" i="1"/>
  <c r="Q775" i="1"/>
  <c r="S775" i="1" s="1"/>
  <c r="W775" i="1" s="1"/>
  <c r="U775" i="1" s="1"/>
  <c r="Q574" i="1"/>
  <c r="S574" i="1" s="1"/>
  <c r="W574" i="1" s="1"/>
  <c r="U574" i="1" s="1"/>
  <c r="O574" i="1"/>
  <c r="Q700" i="1"/>
  <c r="S700" i="1" s="1"/>
  <c r="W700" i="1" s="1"/>
  <c r="U700" i="1" s="1"/>
  <c r="O700" i="1"/>
  <c r="O749" i="1"/>
  <c r="Q749" i="1"/>
  <c r="S749" i="1" s="1"/>
  <c r="W749" i="1" s="1"/>
  <c r="U749" i="1" s="1"/>
  <c r="O653" i="1"/>
  <c r="Q653" i="1"/>
  <c r="S653" i="1" s="1"/>
  <c r="W653" i="1" s="1"/>
  <c r="U653" i="1" s="1"/>
  <c r="Q705" i="1"/>
  <c r="S705" i="1" s="1"/>
  <c r="W705" i="1" s="1"/>
  <c r="U705" i="1" s="1"/>
  <c r="O705" i="1"/>
  <c r="Q677" i="1"/>
  <c r="S677" i="1" s="1"/>
  <c r="W677" i="1" s="1"/>
  <c r="U677" i="1" s="1"/>
  <c r="O677" i="1"/>
  <c r="Q631" i="1"/>
  <c r="S631" i="1" s="1"/>
  <c r="W631" i="1" s="1"/>
  <c r="U631" i="1" s="1"/>
  <c r="O631" i="1"/>
  <c r="O792" i="1"/>
  <c r="Q792" i="1"/>
  <c r="S792" i="1" s="1"/>
  <c r="W792" i="1" s="1"/>
  <c r="U792" i="1" s="1"/>
  <c r="Q844" i="1"/>
  <c r="S844" i="1" s="1"/>
  <c r="W844" i="1" s="1"/>
  <c r="U844" i="1" s="1"/>
  <c r="O844" i="1"/>
  <c r="Q970" i="1"/>
  <c r="S970" i="1" s="1"/>
  <c r="W970" i="1" s="1"/>
  <c r="U970" i="1" s="1"/>
  <c r="O970" i="1"/>
  <c r="Q974" i="1"/>
  <c r="S974" i="1" s="1"/>
  <c r="W974" i="1" s="1"/>
  <c r="U974" i="1" s="1"/>
  <c r="O974" i="1"/>
  <c r="O801" i="1"/>
  <c r="Q801" i="1"/>
  <c r="S801" i="1" s="1"/>
  <c r="W801" i="1" s="1"/>
  <c r="U801" i="1" s="1"/>
  <c r="Q1001" i="1"/>
  <c r="S1001" i="1" s="1"/>
  <c r="W1001" i="1" s="1"/>
  <c r="U1001" i="1" s="1"/>
  <c r="O1001" i="1"/>
  <c r="Q804" i="1"/>
  <c r="S804" i="1" s="1"/>
  <c r="W804" i="1" s="1"/>
  <c r="U804" i="1" s="1"/>
  <c r="O804" i="1"/>
  <c r="O907" i="1"/>
  <c r="Q907" i="1"/>
  <c r="S907" i="1" s="1"/>
  <c r="W907" i="1" s="1"/>
  <c r="U907" i="1" s="1"/>
  <c r="Q922" i="1"/>
  <c r="S922" i="1" s="1"/>
  <c r="W922" i="1" s="1"/>
  <c r="U922" i="1" s="1"/>
  <c r="O922" i="1"/>
  <c r="Q897" i="1"/>
  <c r="S897" i="1" s="1"/>
  <c r="W897" i="1" s="1"/>
  <c r="U897" i="1" s="1"/>
  <c r="O897" i="1"/>
  <c r="Q909" i="1"/>
  <c r="S909" i="1" s="1"/>
  <c r="W909" i="1" s="1"/>
  <c r="U909" i="1" s="1"/>
  <c r="O909" i="1"/>
  <c r="Q898" i="1"/>
  <c r="S898" i="1" s="1"/>
  <c r="W898" i="1" s="1"/>
  <c r="U898" i="1" s="1"/>
  <c r="O898" i="1"/>
  <c r="Q996" i="1"/>
  <c r="S996" i="1" s="1"/>
  <c r="W996" i="1" s="1"/>
  <c r="U996" i="1" s="1"/>
  <c r="O996" i="1"/>
  <c r="Q193" i="1"/>
  <c r="S193" i="1" s="1"/>
  <c r="W193" i="1" s="1"/>
  <c r="U193" i="1" s="1"/>
  <c r="O193" i="1"/>
  <c r="Q79" i="1"/>
  <c r="S79" i="1" s="1"/>
  <c r="W79" i="1" s="1"/>
  <c r="U79" i="1" s="1"/>
  <c r="O79" i="1"/>
  <c r="J133" i="1"/>
  <c r="S134" i="1"/>
  <c r="Q55" i="1"/>
  <c r="S55" i="1" s="1"/>
  <c r="W55" i="1" s="1"/>
  <c r="U55" i="1" s="1"/>
  <c r="O55" i="1"/>
  <c r="Q120" i="1"/>
  <c r="S120" i="1" s="1"/>
  <c r="W120" i="1" s="1"/>
  <c r="U120" i="1" s="1"/>
  <c r="O120" i="1"/>
  <c r="Q771" i="1"/>
  <c r="S771" i="1" s="1"/>
  <c r="W771" i="1" s="1"/>
  <c r="U771" i="1" s="1"/>
  <c r="O771" i="1"/>
  <c r="Q820" i="1"/>
  <c r="S820" i="1" s="1"/>
  <c r="W820" i="1" s="1"/>
  <c r="U820" i="1" s="1"/>
  <c r="O820" i="1"/>
  <c r="Q149" i="1"/>
  <c r="S149" i="1" s="1"/>
  <c r="W149" i="1" s="1"/>
  <c r="U149" i="1" s="1"/>
  <c r="O149" i="1"/>
  <c r="M821" i="1"/>
  <c r="Y821" i="1" s="1"/>
  <c r="Q442" i="1"/>
  <c r="S442" i="1" s="1"/>
  <c r="W442" i="1" s="1"/>
  <c r="U442" i="1" s="1"/>
  <c r="O442" i="1"/>
  <c r="Q253" i="1"/>
  <c r="S253" i="1" s="1"/>
  <c r="W253" i="1" s="1"/>
  <c r="U253" i="1" s="1"/>
  <c r="O253" i="1"/>
  <c r="Q603" i="1"/>
  <c r="S603" i="1" s="1"/>
  <c r="W603" i="1" s="1"/>
  <c r="U603" i="1" s="1"/>
  <c r="O603" i="1"/>
  <c r="O688" i="1"/>
  <c r="Q688" i="1"/>
  <c r="S688" i="1" s="1"/>
  <c r="W688" i="1" s="1"/>
  <c r="U688" i="1" s="1"/>
  <c r="Q874" i="1"/>
  <c r="S874" i="1" s="1"/>
  <c r="W874" i="1" s="1"/>
  <c r="U874" i="1" s="1"/>
  <c r="O874" i="1"/>
  <c r="Q875" i="1"/>
  <c r="S875" i="1" s="1"/>
  <c r="W875" i="1" s="1"/>
  <c r="U875" i="1" s="1"/>
  <c r="O875" i="1"/>
  <c r="Q101" i="1"/>
  <c r="S101" i="1" s="1"/>
  <c r="W101" i="1" s="1"/>
  <c r="U101" i="1" s="1"/>
  <c r="O101" i="1"/>
  <c r="O275" i="1"/>
  <c r="Q275" i="1"/>
  <c r="S275" i="1" s="1"/>
  <c r="W275" i="1" s="1"/>
  <c r="U275" i="1" s="1"/>
  <c r="O265" i="1"/>
  <c r="Q265" i="1"/>
  <c r="S265" i="1" s="1"/>
  <c r="W265" i="1" s="1"/>
  <c r="U265" i="1" s="1"/>
  <c r="Q248" i="1"/>
  <c r="S248" i="1" s="1"/>
  <c r="W248" i="1" s="1"/>
  <c r="U248" i="1" s="1"/>
  <c r="O248" i="1"/>
  <c r="M119" i="1"/>
  <c r="Y119" i="1" s="1"/>
  <c r="M422" i="1"/>
  <c r="Y422" i="1" s="1"/>
  <c r="M51" i="1"/>
  <c r="Y51" i="1" s="1"/>
  <c r="M452" i="1"/>
  <c r="Y452" i="1" s="1"/>
  <c r="Q238" i="1"/>
  <c r="S238" i="1" s="1"/>
  <c r="W238" i="1" s="1"/>
  <c r="U238" i="1" s="1"/>
  <c r="O238" i="1"/>
  <c r="M114" i="1"/>
  <c r="Y114" i="1" s="1"/>
  <c r="M331" i="1"/>
  <c r="Y331" i="1" s="1"/>
  <c r="Q205" i="1"/>
  <c r="S205" i="1" s="1"/>
  <c r="W205" i="1" s="1"/>
  <c r="U205" i="1" s="1"/>
  <c r="O205" i="1"/>
  <c r="M123" i="1"/>
  <c r="Y123" i="1" s="1"/>
  <c r="M183" i="1"/>
  <c r="Y183" i="1" s="1"/>
  <c r="M812" i="1"/>
  <c r="Y812" i="1" s="1"/>
  <c r="M19" i="1"/>
  <c r="J18" i="1"/>
  <c r="M831" i="1"/>
  <c r="Y831" i="1" s="1"/>
  <c r="M43" i="1"/>
  <c r="Y43" i="1" s="1"/>
  <c r="J166" i="1"/>
  <c r="M167" i="1"/>
  <c r="M64" i="1"/>
  <c r="Y64" i="1" s="1"/>
  <c r="M408" i="1"/>
  <c r="Y408" i="1" s="1"/>
  <c r="M303" i="1"/>
  <c r="Y303" i="1" s="1"/>
  <c r="M756" i="1"/>
  <c r="Y756" i="1" s="1"/>
  <c r="M963" i="1"/>
  <c r="Y963" i="1" s="1"/>
  <c r="M381" i="1"/>
  <c r="Y381" i="1" s="1"/>
  <c r="M612" i="1"/>
  <c r="Y612" i="1" s="1"/>
  <c r="M604" i="1"/>
  <c r="Y604" i="1" s="1"/>
  <c r="M772" i="1"/>
  <c r="Y772" i="1" s="1"/>
  <c r="M988" i="1"/>
  <c r="Y988" i="1" s="1"/>
  <c r="M519" i="1"/>
  <c r="Y519" i="1" s="1"/>
  <c r="M900" i="1"/>
  <c r="Y900" i="1" s="1"/>
  <c r="M602" i="1"/>
  <c r="Y602" i="1" s="1"/>
  <c r="M769" i="1"/>
  <c r="Y769" i="1" s="1"/>
  <c r="M774" i="1"/>
  <c r="Y774" i="1" s="1"/>
  <c r="M869" i="1"/>
  <c r="Y869" i="1" s="1"/>
  <c r="M948" i="1"/>
  <c r="Y948" i="1" s="1"/>
  <c r="M937" i="1"/>
  <c r="Y937" i="1" s="1"/>
  <c r="Q42" i="1"/>
  <c r="S42" i="1" s="1"/>
  <c r="W42" i="1" s="1"/>
  <c r="U42" i="1" s="1"/>
  <c r="O42" i="1"/>
  <c r="Q389" i="1"/>
  <c r="S389" i="1" s="1"/>
  <c r="W389" i="1" s="1"/>
  <c r="U389" i="1" s="1"/>
  <c r="O389" i="1"/>
  <c r="O82" i="1"/>
  <c r="Q82" i="1"/>
  <c r="S82" i="1" s="1"/>
  <c r="W82" i="1" s="1"/>
  <c r="U82" i="1" s="1"/>
  <c r="Q305" i="1"/>
  <c r="S305" i="1" s="1"/>
  <c r="W305" i="1" s="1"/>
  <c r="U305" i="1" s="1"/>
  <c r="O305" i="1"/>
  <c r="Q264" i="1"/>
  <c r="S264" i="1" s="1"/>
  <c r="W264" i="1" s="1"/>
  <c r="U264" i="1" s="1"/>
  <c r="O264" i="1"/>
  <c r="O57" i="1"/>
  <c r="Q57" i="1"/>
  <c r="S57" i="1" s="1"/>
  <c r="W57" i="1" s="1"/>
  <c r="U57" i="1" s="1"/>
  <c r="Q161" i="1"/>
  <c r="S161" i="1" s="1"/>
  <c r="W161" i="1" s="1"/>
  <c r="U161" i="1" s="1"/>
  <c r="O161" i="1"/>
  <c r="Q294" i="1"/>
  <c r="S294" i="1" s="1"/>
  <c r="W294" i="1" s="1"/>
  <c r="U294" i="1" s="1"/>
  <c r="O294" i="1"/>
  <c r="Q589" i="1"/>
  <c r="S589" i="1" s="1"/>
  <c r="W589" i="1" s="1"/>
  <c r="U589" i="1" s="1"/>
  <c r="O589" i="1"/>
  <c r="Q344" i="1"/>
  <c r="S344" i="1" s="1"/>
  <c r="W344" i="1" s="1"/>
  <c r="U344" i="1" s="1"/>
  <c r="O344" i="1"/>
  <c r="Q67" i="1"/>
  <c r="S67" i="1" s="1"/>
  <c r="W67" i="1" s="1"/>
  <c r="U67" i="1" s="1"/>
  <c r="O67" i="1"/>
  <c r="Q260" i="1"/>
  <c r="S260" i="1" s="1"/>
  <c r="W260" i="1" s="1"/>
  <c r="U260" i="1" s="1"/>
  <c r="O260" i="1"/>
  <c r="Q479" i="1"/>
  <c r="S479" i="1" s="1"/>
  <c r="W479" i="1" s="1"/>
  <c r="U479" i="1" s="1"/>
  <c r="O479" i="1"/>
  <c r="Q215" i="1"/>
  <c r="S215" i="1" s="1"/>
  <c r="W215" i="1" s="1"/>
  <c r="U215" i="1" s="1"/>
  <c r="O215" i="1"/>
  <c r="Q988" i="1"/>
  <c r="S988" i="1" s="1"/>
  <c r="W988" i="1" s="1"/>
  <c r="U988" i="1" s="1"/>
  <c r="O988" i="1"/>
  <c r="Q458" i="1"/>
  <c r="S458" i="1" s="1"/>
  <c r="W458" i="1" s="1"/>
  <c r="U458" i="1" s="1"/>
  <c r="O458" i="1"/>
  <c r="Q470" i="1"/>
  <c r="S470" i="1" s="1"/>
  <c r="W470" i="1" s="1"/>
  <c r="U470" i="1" s="1"/>
  <c r="O470" i="1"/>
  <c r="Q572" i="1"/>
  <c r="S572" i="1" s="1"/>
  <c r="W572" i="1" s="1"/>
  <c r="U572" i="1" s="1"/>
  <c r="O572" i="1"/>
  <c r="O356" i="1"/>
  <c r="Q356" i="1"/>
  <c r="S356" i="1" s="1"/>
  <c r="W356" i="1" s="1"/>
  <c r="U356" i="1" s="1"/>
  <c r="Q751" i="1"/>
  <c r="S751" i="1" s="1"/>
  <c r="W751" i="1" s="1"/>
  <c r="U751" i="1" s="1"/>
  <c r="O751" i="1"/>
  <c r="O311" i="1"/>
  <c r="Q311" i="1"/>
  <c r="S311" i="1" s="1"/>
  <c r="W311" i="1" s="1"/>
  <c r="U311" i="1" s="1"/>
  <c r="Q409" i="1"/>
  <c r="S409" i="1" s="1"/>
  <c r="W409" i="1" s="1"/>
  <c r="U409" i="1" s="1"/>
  <c r="O409" i="1"/>
  <c r="Q463" i="1"/>
  <c r="S463" i="1" s="1"/>
  <c r="W463" i="1" s="1"/>
  <c r="U463" i="1" s="1"/>
  <c r="O463" i="1"/>
  <c r="Q793" i="1"/>
  <c r="S793" i="1" s="1"/>
  <c r="W793" i="1" s="1"/>
  <c r="U793" i="1" s="1"/>
  <c r="O793" i="1"/>
  <c r="Q454" i="1"/>
  <c r="S454" i="1" s="1"/>
  <c r="W454" i="1" s="1"/>
  <c r="U454" i="1" s="1"/>
  <c r="O454" i="1"/>
  <c r="Q505" i="1"/>
  <c r="S505" i="1" s="1"/>
  <c r="W505" i="1" s="1"/>
  <c r="U505" i="1" s="1"/>
  <c r="O505" i="1"/>
  <c r="Q893" i="1"/>
  <c r="S893" i="1" s="1"/>
  <c r="W893" i="1" s="1"/>
  <c r="U893" i="1" s="1"/>
  <c r="O893" i="1"/>
  <c r="Q827" i="1"/>
  <c r="S827" i="1" s="1"/>
  <c r="W827" i="1" s="1"/>
  <c r="U827" i="1" s="1"/>
  <c r="O827" i="1"/>
  <c r="Q643" i="1"/>
  <c r="S643" i="1" s="1"/>
  <c r="W643" i="1" s="1"/>
  <c r="U643" i="1" s="1"/>
  <c r="O643" i="1"/>
  <c r="Q629" i="1"/>
  <c r="S629" i="1" s="1"/>
  <c r="W629" i="1" s="1"/>
  <c r="U629" i="1" s="1"/>
  <c r="O629" i="1"/>
  <c r="O547" i="1"/>
  <c r="Q547" i="1"/>
  <c r="S547" i="1" s="1"/>
  <c r="W547" i="1" s="1"/>
  <c r="U547" i="1" s="1"/>
  <c r="O852" i="1"/>
  <c r="Q852" i="1"/>
  <c r="S852" i="1" s="1"/>
  <c r="W852" i="1" s="1"/>
  <c r="U852" i="1" s="1"/>
  <c r="Q830" i="1"/>
  <c r="S830" i="1" s="1"/>
  <c r="W830" i="1" s="1"/>
  <c r="U830" i="1" s="1"/>
  <c r="O830" i="1"/>
  <c r="O632" i="1"/>
  <c r="Q632" i="1"/>
  <c r="S632" i="1" s="1"/>
  <c r="W632" i="1" s="1"/>
  <c r="U632" i="1" s="1"/>
  <c r="Q886" i="1"/>
  <c r="S886" i="1" s="1"/>
  <c r="W886" i="1" s="1"/>
  <c r="U886" i="1" s="1"/>
  <c r="O886" i="1"/>
  <c r="Q581" i="1"/>
  <c r="S581" i="1" s="1"/>
  <c r="W581" i="1" s="1"/>
  <c r="U581" i="1" s="1"/>
  <c r="O581" i="1"/>
  <c r="O704" i="1"/>
  <c r="Q704" i="1"/>
  <c r="S704" i="1" s="1"/>
  <c r="W704" i="1" s="1"/>
  <c r="U704" i="1" s="1"/>
  <c r="Q774" i="1"/>
  <c r="S774" i="1" s="1"/>
  <c r="W774" i="1" s="1"/>
  <c r="U774" i="1" s="1"/>
  <c r="O774" i="1"/>
  <c r="Q657" i="1"/>
  <c r="S657" i="1" s="1"/>
  <c r="W657" i="1" s="1"/>
  <c r="U657" i="1" s="1"/>
  <c r="O657" i="1"/>
  <c r="Q708" i="1"/>
  <c r="S708" i="1" s="1"/>
  <c r="W708" i="1" s="1"/>
  <c r="U708" i="1" s="1"/>
  <c r="O708" i="1"/>
  <c r="Q684" i="1"/>
  <c r="S684" i="1" s="1"/>
  <c r="W684" i="1" s="1"/>
  <c r="U684" i="1" s="1"/>
  <c r="O684" i="1"/>
  <c r="O638" i="1"/>
  <c r="Q638" i="1"/>
  <c r="S638" i="1" s="1"/>
  <c r="W638" i="1" s="1"/>
  <c r="U638" i="1" s="1"/>
  <c r="O842" i="1"/>
  <c r="Q842" i="1"/>
  <c r="S842" i="1" s="1"/>
  <c r="W842" i="1" s="1"/>
  <c r="U842" i="1" s="1"/>
  <c r="O889" i="1"/>
  <c r="Q889" i="1"/>
  <c r="S889" i="1" s="1"/>
  <c r="W889" i="1" s="1"/>
  <c r="U889" i="1" s="1"/>
  <c r="Q1004" i="1"/>
  <c r="S1004" i="1" s="1"/>
  <c r="W1004" i="1" s="1"/>
  <c r="U1004" i="1" s="1"/>
  <c r="O1004" i="1"/>
  <c r="Q710" i="1"/>
  <c r="S710" i="1" s="1"/>
  <c r="W710" i="1" s="1"/>
  <c r="U710" i="1" s="1"/>
  <c r="O710" i="1"/>
  <c r="Q808" i="1"/>
  <c r="S808" i="1" s="1"/>
  <c r="W808" i="1" s="1"/>
  <c r="U808" i="1" s="1"/>
  <c r="O808" i="1"/>
  <c r="O971" i="1"/>
  <c r="Q971" i="1"/>
  <c r="S971" i="1" s="1"/>
  <c r="W971" i="1" s="1"/>
  <c r="U971" i="1" s="1"/>
  <c r="O811" i="1"/>
  <c r="Q811" i="1"/>
  <c r="S811" i="1" s="1"/>
  <c r="W811" i="1" s="1"/>
  <c r="U811" i="1" s="1"/>
  <c r="Q929" i="1"/>
  <c r="S929" i="1" s="1"/>
  <c r="W929" i="1" s="1"/>
  <c r="U929" i="1" s="1"/>
  <c r="O929" i="1"/>
  <c r="Q962" i="1"/>
  <c r="S962" i="1" s="1"/>
  <c r="W962" i="1" s="1"/>
  <c r="U962" i="1" s="1"/>
  <c r="O962" i="1"/>
  <c r="Q920" i="1"/>
  <c r="S920" i="1" s="1"/>
  <c r="W920" i="1" s="1"/>
  <c r="U920" i="1" s="1"/>
  <c r="O920" i="1"/>
  <c r="Q916" i="1"/>
  <c r="S916" i="1" s="1"/>
  <c r="W916" i="1" s="1"/>
  <c r="U916" i="1" s="1"/>
  <c r="O916" i="1"/>
  <c r="Q905" i="1"/>
  <c r="S905" i="1" s="1"/>
  <c r="W905" i="1" s="1"/>
  <c r="U905" i="1" s="1"/>
  <c r="O905" i="1"/>
  <c r="Q1003" i="1"/>
  <c r="S1003" i="1" s="1"/>
  <c r="W1003" i="1" s="1"/>
  <c r="U1003" i="1" s="1"/>
  <c r="O1003" i="1"/>
  <c r="M77" i="1"/>
  <c r="Y77" i="1" s="1"/>
  <c r="K235" i="1"/>
  <c r="I16" i="1" l="1"/>
  <c r="I14" i="1" s="1"/>
  <c r="O133" i="1"/>
  <c r="Q133" i="1"/>
  <c r="J16" i="1"/>
  <c r="J14" i="1" s="1"/>
  <c r="M1019" i="1"/>
  <c r="Y1010" i="1"/>
  <c r="Y1019" i="1" s="1"/>
  <c r="S133" i="1"/>
  <c r="W134" i="1"/>
  <c r="M133" i="1"/>
  <c r="Y134" i="1"/>
  <c r="Y133" i="1" s="1"/>
  <c r="Y210" i="1"/>
  <c r="Y209" i="1" s="1"/>
  <c r="M209" i="1"/>
  <c r="M235" i="1"/>
  <c r="Y236" i="1"/>
  <c r="Y235" i="1" s="1"/>
  <c r="Y167" i="1"/>
  <c r="Y166" i="1" s="1"/>
  <c r="M166" i="1"/>
  <c r="O235" i="1"/>
  <c r="O166" i="1"/>
  <c r="Q235" i="1"/>
  <c r="S236" i="1"/>
  <c r="S167" i="1"/>
  <c r="Q166" i="1"/>
  <c r="O209" i="1"/>
  <c r="Q18" i="1"/>
  <c r="S19" i="1"/>
  <c r="K16" i="1"/>
  <c r="K14" i="1" s="1"/>
  <c r="S210" i="1"/>
  <c r="Q209" i="1"/>
  <c r="S1010" i="1"/>
  <c r="Q1019" i="1"/>
  <c r="O18" i="1"/>
  <c r="M18" i="1"/>
  <c r="Y19" i="1"/>
  <c r="Y18" i="1" s="1"/>
  <c r="O16" i="1" l="1"/>
  <c r="O14" i="1" s="1"/>
  <c r="Q16" i="1"/>
  <c r="Q14" i="1" s="1"/>
  <c r="S1019" i="1"/>
  <c r="W1010" i="1"/>
  <c r="Y16" i="1"/>
  <c r="Y14" i="1" s="1"/>
  <c r="W210" i="1"/>
  <c r="S209" i="1"/>
  <c r="S18" i="1"/>
  <c r="W19" i="1"/>
  <c r="M16" i="1"/>
  <c r="M14" i="1" s="1"/>
  <c r="W133" i="1"/>
  <c r="U134" i="1"/>
  <c r="U133" i="1" s="1"/>
  <c r="W167" i="1"/>
  <c r="S166" i="1"/>
  <c r="S235" i="1"/>
  <c r="W236" i="1"/>
  <c r="S16" i="1" l="1"/>
  <c r="S14" i="1" s="1"/>
  <c r="W166" i="1"/>
  <c r="U167" i="1"/>
  <c r="U166" i="1" s="1"/>
  <c r="W18" i="1"/>
  <c r="U19" i="1"/>
  <c r="U18" i="1" s="1"/>
  <c r="W209" i="1"/>
  <c r="U210" i="1"/>
  <c r="U209" i="1" s="1"/>
  <c r="U1010" i="1"/>
  <c r="U1019" i="1" s="1"/>
  <c r="W1019" i="1"/>
  <c r="U236" i="1"/>
  <c r="U235" i="1" s="1"/>
  <c r="W235" i="1"/>
  <c r="U16" i="1" l="1"/>
  <c r="W16" i="1"/>
  <c r="W14" i="1" s="1"/>
  <c r="U14" i="1" s="1"/>
</calcChain>
</file>

<file path=xl/sharedStrings.xml><?xml version="1.0" encoding="utf-8"?>
<sst xmlns="http://schemas.openxmlformats.org/spreadsheetml/2006/main" count="6913" uniqueCount="2405">
  <si>
    <t>RailVision Market Model</t>
  </si>
  <si>
    <t>Diesel Freight Railroad Assumptions</t>
  </si>
  <si>
    <t>Gallons/ Track  Mile</t>
  </si>
  <si>
    <t>Locomotives / Track Mile</t>
  </si>
  <si>
    <t>Engineers / Track Mile</t>
  </si>
  <si>
    <t>$US Cost per Gallon</t>
  </si>
  <si>
    <t>Fuel savings: 8% on 50% of spend</t>
  </si>
  <si>
    <t>RailVision share of Fuel Savings</t>
  </si>
  <si>
    <t>RailVision fee per App per Month</t>
  </si>
  <si>
    <t>Shortline</t>
  </si>
  <si>
    <t>CLASS I</t>
  </si>
  <si>
    <t xml:space="preserve">China </t>
  </si>
  <si>
    <t>Int'l Heavy Haul</t>
  </si>
  <si>
    <t>Number of Apps is 50% (due to utilization) of the average of locomotives and engineers</t>
  </si>
  <si>
    <t>Annual</t>
  </si>
  <si>
    <t>Monthly</t>
  </si>
  <si>
    <t>Target Market (Diesel Freight Railroads)</t>
  </si>
  <si>
    <t>Owner</t>
  </si>
  <si>
    <t>Railroad Properties</t>
  </si>
  <si>
    <t>City</t>
  </si>
  <si>
    <t>State</t>
  </si>
  <si>
    <t>Country</t>
  </si>
  <si>
    <t>Website</t>
  </si>
  <si>
    <t>Track Miles Estimate</t>
  </si>
  <si>
    <t>Annual Fuel Gallons</t>
  </si>
  <si>
    <t>Locomotives</t>
  </si>
  <si>
    <t>Engineers</t>
  </si>
  <si>
    <t>Estimated Number of App/Tablets</t>
  </si>
  <si>
    <t>Estimated Annual Fuel Spend</t>
  </si>
  <si>
    <t>Estimated Monthly Fuel Spend</t>
  </si>
  <si>
    <t>Estimated Monthly Fuel Savings</t>
  </si>
  <si>
    <t>RailVision Target Annual Revenue Opportunity - Gain Sharing Model</t>
  </si>
  <si>
    <t>RailVision Target Monthly Revenue - Gain Sharing Model</t>
  </si>
  <si>
    <t>RailVision Target Monthly Revenue - App License Model</t>
  </si>
  <si>
    <t>Total Target Market</t>
  </si>
  <si>
    <t>Total Shortline Market</t>
  </si>
  <si>
    <t>GWRR</t>
  </si>
  <si>
    <t>Kyle Railroad</t>
  </si>
  <si>
    <t>KYLE</t>
  </si>
  <si>
    <t>Phillipsburg</t>
  </si>
  <si>
    <t>KS</t>
  </si>
  <si>
    <t>United States</t>
  </si>
  <si>
    <t>http://www.railamerica.com</t>
  </si>
  <si>
    <t>Rapid City, Pierre &amp; Eastern Railroad</t>
  </si>
  <si>
    <t>RCPE</t>
  </si>
  <si>
    <t>Rapid City</t>
  </si>
  <si>
    <t>SD</t>
  </si>
  <si>
    <t>http://www.gwrr.com/railroads/north_america/rapid-city-pierre--eastern-railroad</t>
  </si>
  <si>
    <t>Buffalo &amp; Pittsburgh Railroad</t>
  </si>
  <si>
    <t>BPRR</t>
  </si>
  <si>
    <t>Rochester</t>
  </si>
  <si>
    <t>NY</t>
  </si>
  <si>
    <t>http://www.gwrr.com/railroads/north_america/buffalo_pittsburgh_railroad</t>
  </si>
  <si>
    <t>Providence &amp; Worcester Railroad</t>
  </si>
  <si>
    <t>PWRZ</t>
  </si>
  <si>
    <t>Worcester</t>
  </si>
  <si>
    <t>MA</t>
  </si>
  <si>
    <t>http://www.gwrr.com/railroads/north_america/providence-and-worcester-railroad</t>
  </si>
  <si>
    <t>Portland &amp; Western Railroad</t>
  </si>
  <si>
    <t>PNWR</t>
  </si>
  <si>
    <t>Salem</t>
  </si>
  <si>
    <t>OR</t>
  </si>
  <si>
    <t>http://www.gwrr.com</t>
  </si>
  <si>
    <t>Indiana &amp; Ohio Railway</t>
  </si>
  <si>
    <t>IORY</t>
  </si>
  <si>
    <t>Cincinnati</t>
  </si>
  <si>
    <t>OH</t>
  </si>
  <si>
    <t>Missouri &amp; Northern Arkansas Railroad</t>
  </si>
  <si>
    <t>MNAR</t>
  </si>
  <si>
    <t>Carthage</t>
  </si>
  <si>
    <t>MO</t>
  </si>
  <si>
    <t>http://www.gwrr.com/railroads/north_america/missouri__northern_arkansas_railroad</t>
  </si>
  <si>
    <t>Ohio Central Railroad</t>
  </si>
  <si>
    <t>OHCR</t>
  </si>
  <si>
    <t>Coshocton</t>
  </si>
  <si>
    <t>Huron &amp; Eastern Railway</t>
  </si>
  <si>
    <t>HESR</t>
  </si>
  <si>
    <t>Vassar</t>
  </si>
  <si>
    <t>MI</t>
  </si>
  <si>
    <t>http://www.gwrr.com/railroads/north_america/huron_eastern_railway</t>
  </si>
  <si>
    <t>Central Oregon &amp; Pacific Railroad</t>
  </si>
  <si>
    <t>CORP</t>
  </si>
  <si>
    <t>Roseburg</t>
  </si>
  <si>
    <t>http://www.gwrr.com/railroads/north_america/central_oregon_pacific_railroad</t>
  </si>
  <si>
    <t>New England Central Railroad</t>
  </si>
  <si>
    <t>NECR</t>
  </si>
  <si>
    <t>St Albans</t>
  </si>
  <si>
    <t>VT</t>
  </si>
  <si>
    <t>San Joaquin Valley Railroad</t>
  </si>
  <si>
    <t>SJVR</t>
  </si>
  <si>
    <t>Exeter</t>
  </si>
  <si>
    <t>CA</t>
  </si>
  <si>
    <t>Chicago, Ft. Wayne &amp; Eastern Railroad</t>
  </si>
  <si>
    <t>CFER</t>
  </si>
  <si>
    <t>Ft. Wayne</t>
  </si>
  <si>
    <t>IN</t>
  </si>
  <si>
    <t>http://www.gwrr.com/railroads/north_america/chicago_ft_wayne_eastern_railroad</t>
  </si>
  <si>
    <t>Quebec Gatineau Railway</t>
  </si>
  <si>
    <t>QGRY</t>
  </si>
  <si>
    <t>Montreal</t>
  </si>
  <si>
    <t>QC</t>
  </si>
  <si>
    <t>Canada</t>
  </si>
  <si>
    <t>http://www.gwrr.com/railroads/north_america/quebec_gatineau_railway</t>
  </si>
  <si>
    <t>Georgia Southwestern Railroad</t>
  </si>
  <si>
    <t>GSWR</t>
  </si>
  <si>
    <t>Smithville</t>
  </si>
  <si>
    <t>GA</t>
  </si>
  <si>
    <t>Cagy Industries</t>
  </si>
  <si>
    <t>CII</t>
  </si>
  <si>
    <t/>
  </si>
  <si>
    <t>http://</t>
  </si>
  <si>
    <t>Toledo, Peoria &amp; Western Railway</t>
  </si>
  <si>
    <t>TPW</t>
  </si>
  <si>
    <t>East Peoria</t>
  </si>
  <si>
    <t>IL</t>
  </si>
  <si>
    <t>http://www.gwrr.com/railroads/north_america/toledo_peoria__western_railway</t>
  </si>
  <si>
    <t>St. Lawrence Atlantic Railroad (Quebec)</t>
  </si>
  <si>
    <t>SLQ</t>
  </si>
  <si>
    <t>California Northern Raillroad</t>
  </si>
  <si>
    <t>CFNR</t>
  </si>
  <si>
    <t>Woodland</t>
  </si>
  <si>
    <t>Willamette &amp; Pacific Railroad Inc</t>
  </si>
  <si>
    <t>WPRR</t>
  </si>
  <si>
    <t>Arizona &amp; California Railroad</t>
  </si>
  <si>
    <t>ARZC</t>
  </si>
  <si>
    <t>Parker</t>
  </si>
  <si>
    <t>AZ</t>
  </si>
  <si>
    <t>Cape Breton &amp; Central Nova Scotia Railway</t>
  </si>
  <si>
    <t>CBNS</t>
  </si>
  <si>
    <t>Stellarton</t>
  </si>
  <si>
    <t>NS</t>
  </si>
  <si>
    <t>http://www.railamerica.com/railmaps/CBNS.htm</t>
  </si>
  <si>
    <t>Columbus and Ohio River Rail Road</t>
  </si>
  <si>
    <t>CUOH</t>
  </si>
  <si>
    <t>http://www.ohiocentral.com</t>
  </si>
  <si>
    <t>Kiamichi Railroad</t>
  </si>
  <si>
    <t>KRR</t>
  </si>
  <si>
    <t>Hugo</t>
  </si>
  <si>
    <t>OK</t>
  </si>
  <si>
    <t>Heart of Georgia Railroad</t>
  </si>
  <si>
    <t>HOG</t>
  </si>
  <si>
    <t>Americus</t>
  </si>
  <si>
    <t>http://www.gwrr.com/railroads/north_america/heart-of-georgia-railroad</t>
  </si>
  <si>
    <t>Georgia Central Railway</t>
  </si>
  <si>
    <t>GC</t>
  </si>
  <si>
    <t>Jacksonville</t>
  </si>
  <si>
    <t>FL</t>
  </si>
  <si>
    <t>http://www.gwrr.com/railroads/north_america/georgia_central_railway</t>
  </si>
  <si>
    <t>Arizona Eastern Railway</t>
  </si>
  <si>
    <t>AZER</t>
  </si>
  <si>
    <t>Claypool</t>
  </si>
  <si>
    <t>http://www.iowapacific.net/arizona_eastern_railway/</t>
  </si>
  <si>
    <t>Indiana Southern Railroad</t>
  </si>
  <si>
    <t>ISRR</t>
  </si>
  <si>
    <t>Petersburg</t>
  </si>
  <si>
    <t>Bay Line Railroad</t>
  </si>
  <si>
    <t>BAYL</t>
  </si>
  <si>
    <t>http://www.gwrr.com/railroads/north_america/bay_line_railroad</t>
  </si>
  <si>
    <t>Huron Central Railway</t>
  </si>
  <si>
    <t>HCRY</t>
  </si>
  <si>
    <t>Sault Ste. Marie</t>
  </si>
  <si>
    <t>ON</t>
  </si>
  <si>
    <t>Dallas, Garland &amp; Northeastern Railroad</t>
  </si>
  <si>
    <t>DGNO</t>
  </si>
  <si>
    <t>Richardson</t>
  </si>
  <si>
    <t>TX</t>
  </si>
  <si>
    <t>Meridian &amp; Bigbee Railroad</t>
  </si>
  <si>
    <t>MNBR</t>
  </si>
  <si>
    <t>http://www.gwrr.com/railroads/north_america/meridian_bigbee_railroad</t>
  </si>
  <si>
    <t>San Diego &amp; Imperial Valley Railroad</t>
  </si>
  <si>
    <t>SDIY</t>
  </si>
  <si>
    <t>San Diego</t>
  </si>
  <si>
    <t>Marquette Rail</t>
  </si>
  <si>
    <t>MQTR</t>
  </si>
  <si>
    <t>Ludington</t>
  </si>
  <si>
    <t>http://www.gwrr.com/railroads/north_america/marquette_rail</t>
  </si>
  <si>
    <t>Goderich-Exeter Railway</t>
  </si>
  <si>
    <t>GEXR</t>
  </si>
  <si>
    <t>Stratford</t>
  </si>
  <si>
    <t>Ottawa Valley Railway</t>
  </si>
  <si>
    <t>OVR</t>
  </si>
  <si>
    <t>North Bay</t>
  </si>
  <si>
    <t>http://www.gwrr.com/railroads/north_america/ottawa_valley_railway</t>
  </si>
  <si>
    <t>Columbus &amp; Greenville Railway</t>
  </si>
  <si>
    <t>CAGY</t>
  </si>
  <si>
    <t>Columbus</t>
  </si>
  <si>
    <t>MS</t>
  </si>
  <si>
    <t>http://www.gwrr.com/railroads/north_america/columbus__greenville_railway</t>
  </si>
  <si>
    <t>Alabama &amp; Gulf Coast Railway</t>
  </si>
  <si>
    <t>AGRR</t>
  </si>
  <si>
    <t>Monroeville</t>
  </si>
  <si>
    <t>AL</t>
  </si>
  <si>
    <t>http://www.gwrr.com/agr/</t>
  </si>
  <si>
    <t>St. Lawrence &amp; Atlantic Railroad (Maine/NH/VT)</t>
  </si>
  <si>
    <t>SLR</t>
  </si>
  <si>
    <t>Auburn</t>
  </si>
  <si>
    <t>ME</t>
  </si>
  <si>
    <t>Cascade &amp; Columbia River Railroad</t>
  </si>
  <si>
    <t>CSCD</t>
  </si>
  <si>
    <t>Omak</t>
  </si>
  <si>
    <t>WA</t>
  </si>
  <si>
    <t>Tazewell &amp; Peoria Railroad</t>
  </si>
  <si>
    <t>TZPR</t>
  </si>
  <si>
    <t>Creve Coeur</t>
  </si>
  <si>
    <t>AN Railway</t>
  </si>
  <si>
    <t>AN</t>
  </si>
  <si>
    <t>Port St Joe</t>
  </si>
  <si>
    <t>http://www.gwrr.com/railroads/north_america/an_railway</t>
  </si>
  <si>
    <t>Arkansas Midland Railroad</t>
  </si>
  <si>
    <t>AKMD</t>
  </si>
  <si>
    <t>Malvern</t>
  </si>
  <si>
    <t>AR</t>
  </si>
  <si>
    <t>http://www.arkmidrr.com</t>
  </si>
  <si>
    <t>Rochester &amp; Southern Railroad</t>
  </si>
  <si>
    <t>RSR</t>
  </si>
  <si>
    <t>http://www.gwrr.com/railroads/north_america/rochester_southern_railroad</t>
  </si>
  <si>
    <t>Illinois &amp; Midland Railroad Inc</t>
  </si>
  <si>
    <t>IMRR</t>
  </si>
  <si>
    <t>Illinois</t>
  </si>
  <si>
    <t>Louisiana &amp; Delta Railroad Inc</t>
  </si>
  <si>
    <t>LDRR</t>
  </si>
  <si>
    <t>New Iberia</t>
  </si>
  <si>
    <t>LA</t>
  </si>
  <si>
    <t>Utah Railway Co</t>
  </si>
  <si>
    <t>UTAH</t>
  </si>
  <si>
    <t>Provo</t>
  </si>
  <si>
    <t>UT</t>
  </si>
  <si>
    <t>Connecticut Southern Railroad</t>
  </si>
  <si>
    <t>CSOR</t>
  </si>
  <si>
    <t>East Hartford</t>
  </si>
  <si>
    <t>CT</t>
  </si>
  <si>
    <t>http://www.gwrr.com/railroads/north_america/connecticut_southern_railroad</t>
  </si>
  <si>
    <t>Little Rock &amp; Western Railway LP</t>
  </si>
  <si>
    <t>LRWN</t>
  </si>
  <si>
    <t>http://www.gwrr.com/railroads/north_america/little_rock_western_railway</t>
  </si>
  <si>
    <t>Virginia Southern Railroad</t>
  </si>
  <si>
    <t>VSRR</t>
  </si>
  <si>
    <t>Keysville</t>
  </si>
  <si>
    <t>VA</t>
  </si>
  <si>
    <t>http://www.varail.com/vsrrhome.html</t>
  </si>
  <si>
    <t>KWT Railway</t>
  </si>
  <si>
    <t>KWT</t>
  </si>
  <si>
    <t>http://www.gwrr.com/railroads/north_america/kentucky_west_tennessee_railway</t>
  </si>
  <si>
    <t>Maryland Midland Railway</t>
  </si>
  <si>
    <t>MMID</t>
  </si>
  <si>
    <t>Union Bridge</t>
  </si>
  <si>
    <t>MD</t>
  </si>
  <si>
    <t>http://www.mmidrwy.com</t>
  </si>
  <si>
    <t>Otter Tail Valley Railroad</t>
  </si>
  <si>
    <t>OTVR</t>
  </si>
  <si>
    <t>Fergus Falls</t>
  </si>
  <si>
    <t>MN</t>
  </si>
  <si>
    <t>Chesapeake &amp; Albemarle Railroad</t>
  </si>
  <si>
    <t>CARR</t>
  </si>
  <si>
    <t>Ahoskie</t>
  </si>
  <si>
    <t>NC</t>
  </si>
  <si>
    <t>http://www.gwrr.com/railroads/north_america/chesapeake_albemarle_railroad</t>
  </si>
  <si>
    <t>South Carolina Central Railroad</t>
  </si>
  <si>
    <t>SCRF</t>
  </si>
  <si>
    <t>Darlington</t>
  </si>
  <si>
    <t>SC</t>
  </si>
  <si>
    <t>Chattooga &amp; Chickamauga Railway</t>
  </si>
  <si>
    <t>CCKY</t>
  </si>
  <si>
    <t>LaFayette</t>
  </si>
  <si>
    <t>http://www.cagy.com/cckyrail.htm</t>
  </si>
  <si>
    <t>Texas Northeastern Railroad</t>
  </si>
  <si>
    <t>TNER</t>
  </si>
  <si>
    <t>Central Railroad of Indianapolis</t>
  </si>
  <si>
    <t>CERA</t>
  </si>
  <si>
    <t>North Carolina &amp; Virginia Railroad</t>
  </si>
  <si>
    <t>NCVA</t>
  </si>
  <si>
    <t>Hilton &amp; Albany Railroad</t>
  </si>
  <si>
    <t>HAL</t>
  </si>
  <si>
    <t>http://www.gwrr.com/railroads/north_america/hilton__albany_railroad</t>
  </si>
  <si>
    <t>Fordyce &amp; Princeton</t>
  </si>
  <si>
    <t>FP</t>
  </si>
  <si>
    <t>Southern Ontario Railway</t>
  </si>
  <si>
    <t>SOR</t>
  </si>
  <si>
    <t>Hamilton</t>
  </si>
  <si>
    <t>Michigan Shore Railroad</t>
  </si>
  <si>
    <t>Muskegon</t>
  </si>
  <si>
    <t>Arkansas Louisiana &amp; Mississippi Railroad- F&amp;P</t>
  </si>
  <si>
    <t>ALM</t>
  </si>
  <si>
    <t>Crossett</t>
  </si>
  <si>
    <t>Mahoning Valley Railway</t>
  </si>
  <si>
    <t>MVRY</t>
  </si>
  <si>
    <t>http://www.gwrr.com/railroads/north_america/mahoning_valley_railway</t>
  </si>
  <si>
    <t>South Buffalo Railway</t>
  </si>
  <si>
    <t>SBRR</t>
  </si>
  <si>
    <t>Golden Isles Terminal Railroad</t>
  </si>
  <si>
    <t>GITM</t>
  </si>
  <si>
    <t>http://www.gwrr.com/railroads/north_america/golden_isles_terminal_railroad</t>
  </si>
  <si>
    <t>Grand Rapids Eastern Railroad</t>
  </si>
  <si>
    <t>GRE</t>
  </si>
  <si>
    <t>Corpus Christi Terminal Railroad</t>
  </si>
  <si>
    <t>CCPN</t>
  </si>
  <si>
    <t>http://www.gwrr.com/railroads/north_america/corpus_christi_terminal_railroad</t>
  </si>
  <si>
    <t>York Railway Co</t>
  </si>
  <si>
    <t>YRC</t>
  </si>
  <si>
    <t>Pittsburgh &amp; Ohio Central Railroad</t>
  </si>
  <si>
    <t>POHC</t>
  </si>
  <si>
    <t>McKee's Rocks</t>
  </si>
  <si>
    <t>PA</t>
  </si>
  <si>
    <t>Wellsboro &amp; Corning Railroad Co.</t>
  </si>
  <si>
    <t>WCOR</t>
  </si>
  <si>
    <t>Northumberland</t>
  </si>
  <si>
    <t>Ohio &amp; Pennsylvania Railroad</t>
  </si>
  <si>
    <t>OHPA</t>
  </si>
  <si>
    <t>Russellville</t>
  </si>
  <si>
    <t>Carolina Piedmont Railroad</t>
  </si>
  <si>
    <t>CPDR</t>
  </si>
  <si>
    <t>LAURENS</t>
  </si>
  <si>
    <t>Three Notch Railroad</t>
  </si>
  <si>
    <t>TNHR</t>
  </si>
  <si>
    <t>Enterprise</t>
  </si>
  <si>
    <t>http://www.railamerica.com/RailServices/TNHR.aspx</t>
  </si>
  <si>
    <t>Luxapalila Valley Railroad</t>
  </si>
  <si>
    <t>LXVR</t>
  </si>
  <si>
    <t>http://www.cagy.com/lvrrail</t>
  </si>
  <si>
    <t>Mid-Michigan Railroad</t>
  </si>
  <si>
    <t>MMRR</t>
  </si>
  <si>
    <t>http://www.railamerica.com/RailServices/MMRR.aspx</t>
  </si>
  <si>
    <t>First Coast Railroad</t>
  </si>
  <si>
    <t>FCRD</t>
  </si>
  <si>
    <t>Columbus &amp; Chattahoochee Railroad</t>
  </si>
  <si>
    <t>CCH</t>
  </si>
  <si>
    <t>http://www.gwrr.com/railroads/north_america/columbus__chattahoochee_railroad</t>
  </si>
  <si>
    <t>Chattahoochee Bay Railroad</t>
  </si>
  <si>
    <t>CHAT</t>
  </si>
  <si>
    <t>Dothan</t>
  </si>
  <si>
    <t>Central Railroad of Indiana</t>
  </si>
  <si>
    <t>CIND</t>
  </si>
  <si>
    <t>Salt Lake City Southern Railroad</t>
  </si>
  <si>
    <t>SLCS</t>
  </si>
  <si>
    <t>Helper</t>
  </si>
  <si>
    <t>Eastern Alabama Railway</t>
  </si>
  <si>
    <t>EARY</t>
  </si>
  <si>
    <t>Sylacauga</t>
  </si>
  <si>
    <t>Puget Sound &amp; Pacific Railroad</t>
  </si>
  <si>
    <t>PSAP</t>
  </si>
  <si>
    <t>Elma</t>
  </si>
  <si>
    <t>Wiregrass Central Railroad</t>
  </si>
  <si>
    <t>WGCR</t>
  </si>
  <si>
    <t>http://www.gulfandohio.com</t>
  </si>
  <si>
    <t>Port of Caddo Bossier</t>
  </si>
  <si>
    <t>PCBX</t>
  </si>
  <si>
    <t>Shreveport</t>
  </si>
  <si>
    <t>http://portcb.com/</t>
  </si>
  <si>
    <t>Ohio Southern Railroad</t>
  </si>
  <si>
    <t>OSRR</t>
  </si>
  <si>
    <t>Savannah Port Terminal Railroad</t>
  </si>
  <si>
    <t>SAPT</t>
  </si>
  <si>
    <t>Savannah</t>
  </si>
  <si>
    <t>Youngstown Belt Railroad</t>
  </si>
  <si>
    <t>YB</t>
  </si>
  <si>
    <t>Youngstown &amp; Austintown Railroad</t>
  </si>
  <si>
    <t>YARR</t>
  </si>
  <si>
    <t>Western Labrador Rail Services</t>
  </si>
  <si>
    <t>WLRS</t>
  </si>
  <si>
    <t>NL</t>
  </si>
  <si>
    <t>Riceboro Southern Railroad</t>
  </si>
  <si>
    <t>RSOR</t>
  </si>
  <si>
    <t>Commonwealth Railway</t>
  </si>
  <si>
    <t>CWRY</t>
  </si>
  <si>
    <t>Conecuh Valley Railroad</t>
  </si>
  <si>
    <t>COEH</t>
  </si>
  <si>
    <t>Knoxville</t>
  </si>
  <si>
    <t>TN</t>
  </si>
  <si>
    <t>http://www.gulfandohio.com/</t>
  </si>
  <si>
    <t>Chattahoochee Industrial Railroad</t>
  </si>
  <si>
    <t>CIRR</t>
  </si>
  <si>
    <t>East Tennessee Railway</t>
  </si>
  <si>
    <t>ETRY</t>
  </si>
  <si>
    <t>Johnson City</t>
  </si>
  <si>
    <t>http://www.gwr.com</t>
  </si>
  <si>
    <t>Point Comfort &amp; Northern Railway Company</t>
  </si>
  <si>
    <t>PCNR</t>
  </si>
  <si>
    <t>Lolita</t>
  </si>
  <si>
    <t>http://www.gwrr.com/railroads/north_america/point_comfort__northern_railway</t>
  </si>
  <si>
    <t>Valdosta Railway</t>
  </si>
  <si>
    <t>VR</t>
  </si>
  <si>
    <t>Lake Park</t>
  </si>
  <si>
    <t>http://www.gwrr.com/railroads/north_america/valdosta_railway</t>
  </si>
  <si>
    <t>Ventura County Railroad</t>
  </si>
  <si>
    <t>VCRR</t>
  </si>
  <si>
    <t>Port Hueneme</t>
  </si>
  <si>
    <t>http://www.gwrr.com/railroads/north_america/ventura_county_railroad</t>
  </si>
  <si>
    <t>Knob Lake and Timmins Railway</t>
  </si>
  <si>
    <t>KLT</t>
  </si>
  <si>
    <t>http://www.gwrr.com/railroads/north_america/knob-lake-and-timmins-railway</t>
  </si>
  <si>
    <t>Tomahawk Railway</t>
  </si>
  <si>
    <t>TR</t>
  </si>
  <si>
    <t>Tomahawk</t>
  </si>
  <si>
    <t>WI</t>
  </si>
  <si>
    <t>http://www.gwrr.com/railroads/north_america/tomahawk_railway</t>
  </si>
  <si>
    <t>Wilmington Terminal Railroad</t>
  </si>
  <si>
    <t>WTRY</t>
  </si>
  <si>
    <t>Wilmington</t>
  </si>
  <si>
    <t>GOLDEN ISLE TERMINAL RR WHARF</t>
  </si>
  <si>
    <t>GITW</t>
  </si>
  <si>
    <t>Golden Isles - Savannah Wharf</t>
  </si>
  <si>
    <t>GIT</t>
  </si>
  <si>
    <t>GOLDEN ISLE TERMINAL RR BRUNSWICK</t>
  </si>
  <si>
    <t>GITR</t>
  </si>
  <si>
    <t>Bauxite &amp; Northern Railway Company</t>
  </si>
  <si>
    <t>BXNR</t>
  </si>
  <si>
    <t>Bauxite</t>
  </si>
  <si>
    <t>http://www.gwrr.com/railroads/north_america/bauxite_northern_railway</t>
  </si>
  <si>
    <t>Olympia &amp; Belmore Railroad</t>
  </si>
  <si>
    <t>OYLO</t>
  </si>
  <si>
    <t>Centralia</t>
  </si>
  <si>
    <t>Aliquippa &amp; Ohio Railroad</t>
  </si>
  <si>
    <t>AOR</t>
  </si>
  <si>
    <t>Warren &amp; Trumbull Railroad</t>
  </si>
  <si>
    <t>WTRM</t>
  </si>
  <si>
    <t>Youngstown</t>
  </si>
  <si>
    <t>Rockdale, Sandow &amp; Southern Railroad Company</t>
  </si>
  <si>
    <t>RSSR</t>
  </si>
  <si>
    <t>Rockdale</t>
  </si>
  <si>
    <t>Atlantic &amp; Western Railway</t>
  </si>
  <si>
    <t>ATW</t>
  </si>
  <si>
    <t>Sanford</t>
  </si>
  <si>
    <t>Massena Terminal Railroad Company</t>
  </si>
  <si>
    <t>MSTR</t>
  </si>
  <si>
    <t>Massena</t>
  </si>
  <si>
    <t>http://www.gwrr.com/railroads/north_america/massena_terminal_railroad#m_tab-one-panel</t>
  </si>
  <si>
    <t>OmniTrax Total</t>
  </si>
  <si>
    <t>Hudson Bay Railway</t>
  </si>
  <si>
    <t>OmniTRAX Inc</t>
  </si>
  <si>
    <t>HBRY</t>
  </si>
  <si>
    <t>The Pas, Manitoba</t>
  </si>
  <si>
    <t>MB</t>
  </si>
  <si>
    <t>http://www.omnitrax.com</t>
  </si>
  <si>
    <t>Nebraska Kansas Colorado Railway</t>
  </si>
  <si>
    <t>NKCR</t>
  </si>
  <si>
    <t>Grant</t>
  </si>
  <si>
    <t>NE</t>
  </si>
  <si>
    <t>http://omnitrax.com/nebraska-kansas-colorado-railway-llc/</t>
  </si>
  <si>
    <t>Carlton Trail Railway</t>
  </si>
  <si>
    <t>CTRW</t>
  </si>
  <si>
    <t>Prince Albert</t>
  </si>
  <si>
    <t>SK</t>
  </si>
  <si>
    <t>Georgia &amp; Florida Railway</t>
  </si>
  <si>
    <t>GFRR</t>
  </si>
  <si>
    <t>Albany</t>
  </si>
  <si>
    <t>http://omnitrax.com/georgia-florida-railway/</t>
  </si>
  <si>
    <t>Kettle Falls International Railway LLC</t>
  </si>
  <si>
    <t>KFR</t>
  </si>
  <si>
    <t>Kettle Falls</t>
  </si>
  <si>
    <t>San Luis &amp; Rio Grande Railroad</t>
  </si>
  <si>
    <t>SLRG</t>
  </si>
  <si>
    <t>Alamosa</t>
  </si>
  <si>
    <t>CO</t>
  </si>
  <si>
    <t>http://www.iowapacific.net/sanluis_rio_grande_railroad/</t>
  </si>
  <si>
    <t>Alabama &amp; Tennessee River Railway LLC</t>
  </si>
  <si>
    <t>ATN</t>
  </si>
  <si>
    <t>Gadsen</t>
  </si>
  <si>
    <t>http://omnitrax.com/alabama-tennessee-2/</t>
  </si>
  <si>
    <t>Great Western Railway of Colorado</t>
  </si>
  <si>
    <t>GRW</t>
  </si>
  <si>
    <t>Windsor</t>
  </si>
  <si>
    <t>Illinois Railway</t>
  </si>
  <si>
    <t>IR</t>
  </si>
  <si>
    <t>Ottawa</t>
  </si>
  <si>
    <t>Chicago Rail Link</t>
  </si>
  <si>
    <t>CRL</t>
  </si>
  <si>
    <t>Chicago</t>
  </si>
  <si>
    <t>http://www.omnitrax.com/rail_crl.aspx</t>
  </si>
  <si>
    <t>Fulton County Railway LLC</t>
  </si>
  <si>
    <t>FCR</t>
  </si>
  <si>
    <t>Atlanta</t>
  </si>
  <si>
    <t>Winchester &amp; Western Railroad Co</t>
  </si>
  <si>
    <t>WW</t>
  </si>
  <si>
    <t>Winchester</t>
  </si>
  <si>
    <t>Cleveland Cuyahoga Railroad</t>
  </si>
  <si>
    <t>Penninsula</t>
  </si>
  <si>
    <t>Brownsville &amp; Rio Grande International Railroad</t>
  </si>
  <si>
    <t>BRGI</t>
  </si>
  <si>
    <t>Brownsville</t>
  </si>
  <si>
    <t>http://omnitrax.com/our-company/our-railroads/brownsville-rio-grande-international-railroad/</t>
  </si>
  <si>
    <t>Sand Springs Railway Co</t>
  </si>
  <si>
    <t>SSR</t>
  </si>
  <si>
    <t>Tulsa</t>
  </si>
  <si>
    <t>Panhandle Northern Railroad</t>
  </si>
  <si>
    <t>PNR</t>
  </si>
  <si>
    <t>Borger</t>
  </si>
  <si>
    <t>Northern Ohio &amp; Western Railway</t>
  </si>
  <si>
    <t>NOW</t>
  </si>
  <si>
    <t>Tiffin</t>
  </si>
  <si>
    <t>Stockton Terminal &amp; Eastern Railroad</t>
  </si>
  <si>
    <t>STE</t>
  </si>
  <si>
    <t>Stockton</t>
  </si>
  <si>
    <t>http://www.sterailroad.com</t>
  </si>
  <si>
    <t>Georgia Woodlands Railroad LLC</t>
  </si>
  <si>
    <t>GWR</t>
  </si>
  <si>
    <t>Washington</t>
  </si>
  <si>
    <t>Savannah Industrial Transportation</t>
  </si>
  <si>
    <t>Newburgh &amp; South Shore Railroad LLC</t>
  </si>
  <si>
    <t>NSR</t>
  </si>
  <si>
    <t>Cleveland</t>
  </si>
  <si>
    <t>Decatur Central Railroad</t>
  </si>
  <si>
    <t>DCRR</t>
  </si>
  <si>
    <t>Loveland Locomotive Works LLC</t>
  </si>
  <si>
    <t>LLW</t>
  </si>
  <si>
    <t>Loveland</t>
  </si>
  <si>
    <t>Omnitrax Switching Services LLC</t>
  </si>
  <si>
    <t>OSS</t>
  </si>
  <si>
    <t>AK</t>
  </si>
  <si>
    <t>http://www.omnitrax.com/switchingservices.aspx</t>
  </si>
  <si>
    <t>Quality Terminal Services LLC</t>
  </si>
  <si>
    <t>QTS</t>
  </si>
  <si>
    <t>Manufacturers' Junction Railway LLC</t>
  </si>
  <si>
    <t>MJ</t>
  </si>
  <si>
    <t>Cicero</t>
  </si>
  <si>
    <t>Peru Industrial Railway</t>
  </si>
  <si>
    <t>Cleveland Port Railway</t>
  </si>
  <si>
    <t>CLPT</t>
  </si>
  <si>
    <t>Omni River Ridge</t>
  </si>
  <si>
    <t>Central Texas &amp; Colorado River Railway</t>
  </si>
  <si>
    <t>Brady</t>
  </si>
  <si>
    <t>Watco</t>
  </si>
  <si>
    <t>Kansas and Oklahoma Railroad</t>
  </si>
  <si>
    <t>Watco Companies</t>
  </si>
  <si>
    <t>KO</t>
  </si>
  <si>
    <t>Witchita</t>
  </si>
  <si>
    <t>http://www.watcocompanies.com/services/rail/kansas-and-oklahoma-railroad-ko/</t>
  </si>
  <si>
    <t>Wisconsin &amp; Southern Railroad</t>
  </si>
  <si>
    <t>WSOR</t>
  </si>
  <si>
    <t>Pittsburg</t>
  </si>
  <si>
    <t>http://www.watcocompanies.com/services/rail/wsor/</t>
  </si>
  <si>
    <t>Eastern Idaho Railroad</t>
  </si>
  <si>
    <t>EIRR</t>
  </si>
  <si>
    <t>Twin Falls</t>
  </si>
  <si>
    <t>ID</t>
  </si>
  <si>
    <t>http://www.watco.com/service/rail/eastern-idaho-railroad-eirr/</t>
  </si>
  <si>
    <t>Kanawha River Railroad</t>
  </si>
  <si>
    <t>KNWA</t>
  </si>
  <si>
    <t>Belle</t>
  </si>
  <si>
    <t>WV</t>
  </si>
  <si>
    <t>http://watcocompanies.com/services/rail/knwa/</t>
  </si>
  <si>
    <t>Fox Valley And Lake Superior</t>
  </si>
  <si>
    <t>FOXY</t>
  </si>
  <si>
    <t>Palouse River &amp; Coulee City Railroad</t>
  </si>
  <si>
    <t>PCC</t>
  </si>
  <si>
    <t>Lewiston</t>
  </si>
  <si>
    <t>http://www.watcocompanies.com</t>
  </si>
  <si>
    <t>Louisiana Southern Railroad</t>
  </si>
  <si>
    <t>LAS</t>
  </si>
  <si>
    <t>Hodge</t>
  </si>
  <si>
    <t>Yellowstone Valley Railroad</t>
  </si>
  <si>
    <t>YSVR</t>
  </si>
  <si>
    <t>Sidney</t>
  </si>
  <si>
    <t>MT</t>
  </si>
  <si>
    <t>Austin Western Railroad</t>
  </si>
  <si>
    <t>AWRR</t>
  </si>
  <si>
    <t>McNeil</t>
  </si>
  <si>
    <t>Birmingham Terminal Railroad Co</t>
  </si>
  <si>
    <t>Fairfield</t>
  </si>
  <si>
    <t>http://www.tstarinc.com</t>
  </si>
  <si>
    <t>Alabama Southern Railroad</t>
  </si>
  <si>
    <t>ABS</t>
  </si>
  <si>
    <t>Tuscaloosa</t>
  </si>
  <si>
    <t>Arkansas Southern Railroad</t>
  </si>
  <si>
    <t>ARS</t>
  </si>
  <si>
    <t>Nashville</t>
  </si>
  <si>
    <t>http://www.watco.com/service/rail/arkansas-southern-railroad-ars/</t>
  </si>
  <si>
    <t>Ann Arbor Railroad</t>
  </si>
  <si>
    <t>AA</t>
  </si>
  <si>
    <t>Howell</t>
  </si>
  <si>
    <t>http://www.annarbor-railroad.com</t>
  </si>
  <si>
    <t>Mission Mountain Railroad</t>
  </si>
  <si>
    <t>MMTR</t>
  </si>
  <si>
    <t>Columbia Falls</t>
  </si>
  <si>
    <t>Pecos Valley Southern Railway</t>
  </si>
  <si>
    <t>PVSR</t>
  </si>
  <si>
    <t>Pecos</t>
  </si>
  <si>
    <t>Talleyrand Terminal Railroad</t>
  </si>
  <si>
    <t>TTRR</t>
  </si>
  <si>
    <t>Decatur &amp; Eastern illinois railroad</t>
  </si>
  <si>
    <t>DREI</t>
  </si>
  <si>
    <t>Lubbock and Western Railway</t>
  </si>
  <si>
    <t>Mississippi Southern Railroad</t>
  </si>
  <si>
    <t>MSR</t>
  </si>
  <si>
    <t>Bay Springs</t>
  </si>
  <si>
    <t>Ithaca Central Railroad</t>
  </si>
  <si>
    <t>ITHR</t>
  </si>
  <si>
    <t>San Antonio Central Railroad</t>
  </si>
  <si>
    <t>SACR</t>
  </si>
  <si>
    <t>Elwood Joliet and Southern</t>
  </si>
  <si>
    <t>Stewart Southern Railway</t>
  </si>
  <si>
    <t>Fillmore</t>
  </si>
  <si>
    <t>Kaw River Railroad</t>
  </si>
  <si>
    <t>KAW</t>
  </si>
  <si>
    <t>Kansas City</t>
  </si>
  <si>
    <t>Stillwater Central Railroad</t>
  </si>
  <si>
    <t>SLWC</t>
  </si>
  <si>
    <t>Oklahoma City</t>
  </si>
  <si>
    <t>http://www.watco.com/service/rail/stillwater-central-railroad-slwc/</t>
  </si>
  <si>
    <t>South Kansas &amp; Oklahoma Railroad</t>
  </si>
  <si>
    <t>SKOL</t>
  </si>
  <si>
    <t>Cherryvale</t>
  </si>
  <si>
    <t>Timber Rock Railroad</t>
  </si>
  <si>
    <t>TIBR</t>
  </si>
  <si>
    <t>Silsbee</t>
  </si>
  <si>
    <t>Alabama Warrior Railway</t>
  </si>
  <si>
    <t>ABWR</t>
  </si>
  <si>
    <t>http://www.watcocompanies.com/</t>
  </si>
  <si>
    <t>Vicksburg Southern Railroad</t>
  </si>
  <si>
    <t>VSOR</t>
  </si>
  <si>
    <t>Vicksburg</t>
  </si>
  <si>
    <t>Autagua  Northern Railroad</t>
  </si>
  <si>
    <t>AUT</t>
  </si>
  <si>
    <t>Prattville</t>
  </si>
  <si>
    <t>Jacksonville Port Terminal Railroad</t>
  </si>
  <si>
    <t>JXPT</t>
  </si>
  <si>
    <t>http://www.watcocompanies.com/services/rail/jacksonville-port-terminal-railroad-jxpt/</t>
  </si>
  <si>
    <t>Blue Ridge Southern Railroad</t>
  </si>
  <si>
    <t>BBLU</t>
  </si>
  <si>
    <t>DOW</t>
  </si>
  <si>
    <t>Pennsylvia Southwestern Railroad</t>
  </si>
  <si>
    <t>PSWR</t>
  </si>
  <si>
    <t>Midland</t>
  </si>
  <si>
    <t>Dutch Town</t>
  </si>
  <si>
    <t>Geaux Geaux Railroad</t>
  </si>
  <si>
    <t>Boca Raton</t>
  </si>
  <si>
    <t>Swan Ranch Railroad</t>
  </si>
  <si>
    <t>SRRR</t>
  </si>
  <si>
    <t>Cheyenne</t>
  </si>
  <si>
    <t>WY</t>
  </si>
  <si>
    <t>http://www.watcocompanies.com/services/rail/swan-ranch-railroad-srrr/</t>
  </si>
  <si>
    <t>Condon Rail</t>
  </si>
  <si>
    <t>COnd</t>
  </si>
  <si>
    <t>Savannah &amp; Old Fort Railroad</t>
  </si>
  <si>
    <t>SOFR</t>
  </si>
  <si>
    <t>Bogalusa Bayou Railroad</t>
  </si>
  <si>
    <t>BBAY</t>
  </si>
  <si>
    <t>Solvay Chemical</t>
  </si>
  <si>
    <t>SLVY</t>
  </si>
  <si>
    <t>Patriot Rail</t>
  </si>
  <si>
    <t>Tennessee Southern Railroad</t>
  </si>
  <si>
    <t>Patriot Rail Corp</t>
  </si>
  <si>
    <t>TSRR</t>
  </si>
  <si>
    <t>Mount Pleasant</t>
  </si>
  <si>
    <t>http://www.tennesseesouthern.com</t>
  </si>
  <si>
    <t>Georgia Northeastern Railroad</t>
  </si>
  <si>
    <t>GNRR</t>
  </si>
  <si>
    <t>Marrietta</t>
  </si>
  <si>
    <t>http://www.gnrr.com</t>
  </si>
  <si>
    <t>Louisiana &amp; North West Rail Road</t>
  </si>
  <si>
    <t>LNW</t>
  </si>
  <si>
    <t>Homer</t>
  </si>
  <si>
    <t>http://www.patriotrail.com</t>
  </si>
  <si>
    <t>De Queen &amp; Eastern Railroad Co</t>
  </si>
  <si>
    <t>De Queen</t>
  </si>
  <si>
    <t>http://www.weyerhaeuser.com</t>
  </si>
  <si>
    <t>Butte, Anaconda &amp;  Pacific Railway</t>
  </si>
  <si>
    <t>BAPR</t>
  </si>
  <si>
    <t>Anaconda</t>
  </si>
  <si>
    <t>Salt Lake Garfield and Western Railway</t>
  </si>
  <si>
    <t>SLGW</t>
  </si>
  <si>
    <t>Salt Lake City</t>
  </si>
  <si>
    <t>http://patriotrail.com/rail/salt-lake-garfield-western-railway-slgw/</t>
  </si>
  <si>
    <t>Golden Triangle Railroad</t>
  </si>
  <si>
    <t>GTRA</t>
  </si>
  <si>
    <t>Columbia &amp; Cowlitz Railway Co</t>
  </si>
  <si>
    <t>CLC</t>
  </si>
  <si>
    <t>Longview</t>
  </si>
  <si>
    <t>Keokuk Junction Railway</t>
  </si>
  <si>
    <t>KJRW</t>
  </si>
  <si>
    <t>Peoria</t>
  </si>
  <si>
    <t>Georgia Southern Railway Co</t>
  </si>
  <si>
    <t>Gettysburg &amp; Northern Railroad</t>
  </si>
  <si>
    <t>GET</t>
  </si>
  <si>
    <t>Ripley And New Albany Railroad</t>
  </si>
  <si>
    <t>Fort Smith Railroad</t>
  </si>
  <si>
    <t>Michigan Southern Railroad</t>
  </si>
  <si>
    <t>MSO</t>
  </si>
  <si>
    <t>Garden City</t>
  </si>
  <si>
    <t>GCC</t>
  </si>
  <si>
    <t>Elkhart &amp; Western Railroad Co</t>
  </si>
  <si>
    <t>EWR</t>
  </si>
  <si>
    <t>Utah Central Railway</t>
  </si>
  <si>
    <t>Ogdon</t>
  </si>
  <si>
    <t>Decatur Junction Railway</t>
  </si>
  <si>
    <t>DT</t>
  </si>
  <si>
    <t>Temple and Central texas</t>
  </si>
  <si>
    <t>Kingman Terminal Railroad</t>
  </si>
  <si>
    <t>KGTR</t>
  </si>
  <si>
    <t>Kingman</t>
  </si>
  <si>
    <t>Sacramento Valley Railroad</t>
  </si>
  <si>
    <t>SAV</t>
  </si>
  <si>
    <t>McClellan</t>
  </si>
  <si>
    <t>Kendallville Terminal Railway</t>
  </si>
  <si>
    <t>KTR</t>
  </si>
  <si>
    <t>Indiana Southwestern Railway</t>
  </si>
  <si>
    <t>ISW</t>
  </si>
  <si>
    <t>Merced County Central Valley Railroad</t>
  </si>
  <si>
    <t>All Other (Individual)</t>
  </si>
  <si>
    <t>Vermont Rail Systems</t>
  </si>
  <si>
    <t>Burlington</t>
  </si>
  <si>
    <t>http://www.vermontrailway.com</t>
  </si>
  <si>
    <t>Conrail</t>
  </si>
  <si>
    <t>Philadelphia</t>
  </si>
  <si>
    <t>http://www.conrail.com</t>
  </si>
  <si>
    <t>Montreal Maine &amp; Atlantic Railway</t>
  </si>
  <si>
    <t>MMA</t>
  </si>
  <si>
    <t>Bangor</t>
  </si>
  <si>
    <t>http://www.mmarail.com</t>
  </si>
  <si>
    <t>Amtrak</t>
  </si>
  <si>
    <t>ATK</t>
  </si>
  <si>
    <t>http://www.amtrak.com</t>
  </si>
  <si>
    <t>Ontario Northland Railway</t>
  </si>
  <si>
    <t>ONT</t>
  </si>
  <si>
    <t>http://www.ontarionorthland.ca</t>
  </si>
  <si>
    <t>Wheeling &amp; Lake Erie Railway</t>
  </si>
  <si>
    <t>WLER</t>
  </si>
  <si>
    <t>Brewster</t>
  </si>
  <si>
    <t>http://www.wlerwy.com</t>
  </si>
  <si>
    <t>Iowa Interstate Railroad Ltd.</t>
  </si>
  <si>
    <t>IAIS</t>
  </si>
  <si>
    <t>Ceder Rapids</t>
  </si>
  <si>
    <t>IA</t>
  </si>
  <si>
    <t>http://www.iaisrr.com</t>
  </si>
  <si>
    <t>Dakota, Minnesota &amp; Eastern Railroad</t>
  </si>
  <si>
    <t>Sioux Falls</t>
  </si>
  <si>
    <t>http://www.dmerail.com</t>
  </si>
  <si>
    <t>Dakota, Missouri Valley &amp; Western</t>
  </si>
  <si>
    <t>Bismarck</t>
  </si>
  <si>
    <t>http://www.dmvwrr.com</t>
  </si>
  <si>
    <t>Alaska Railroad Corporation</t>
  </si>
  <si>
    <t>ARR</t>
  </si>
  <si>
    <t>Anchorage</t>
  </si>
  <si>
    <t>http://www.alaskarailroad.com</t>
  </si>
  <si>
    <t>Pioneer Railcorp</t>
  </si>
  <si>
    <t>http://www.pioneer-railcorp.com</t>
  </si>
  <si>
    <t>Great Western Railway</t>
  </si>
  <si>
    <t>Shaunavon</t>
  </si>
  <si>
    <t>http://www.greatwesternrail.com</t>
  </si>
  <si>
    <t>Great Lakes Central Railroad</t>
  </si>
  <si>
    <t>GLC</t>
  </si>
  <si>
    <t>Owosso</t>
  </si>
  <si>
    <t>http://www.glcrailroad.com/</t>
  </si>
  <si>
    <t>Northern Plains Railroad</t>
  </si>
  <si>
    <t>NPR</t>
  </si>
  <si>
    <t>Fordville</t>
  </si>
  <si>
    <t>ND</t>
  </si>
  <si>
    <t>http://www.nprail.com</t>
  </si>
  <si>
    <t>Southwestern Railroad</t>
  </si>
  <si>
    <t>SWRR</t>
  </si>
  <si>
    <t>Hurley</t>
  </si>
  <si>
    <t>NM</t>
  </si>
  <si>
    <t>Farmrail System Inc</t>
  </si>
  <si>
    <t>Clinton</t>
  </si>
  <si>
    <t>http://www.farmrail.com</t>
  </si>
  <si>
    <t>Florida East Coast Railway</t>
  </si>
  <si>
    <t>FEC</t>
  </si>
  <si>
    <t>http://fecrwy.com</t>
  </si>
  <si>
    <t>Escanaba &amp; Lake Superior RailRoad</t>
  </si>
  <si>
    <t>Wells</t>
  </si>
  <si>
    <t>http://www.elsrr.com</t>
  </si>
  <si>
    <t>Reading Blue Mountain and Northern Railroad</t>
  </si>
  <si>
    <t>RBMN</t>
  </si>
  <si>
    <t>Port Clinton</t>
  </si>
  <si>
    <t>http://www.rbmnrr.com/</t>
  </si>
  <si>
    <t>Lake State Railway</t>
  </si>
  <si>
    <t>East Tawas</t>
  </si>
  <si>
    <t>http://www.lsrc.com</t>
  </si>
  <si>
    <t>Nebraska Central Railroad</t>
  </si>
  <si>
    <t>Rio Grand Pacific Corp</t>
  </si>
  <si>
    <t>NCRC</t>
  </si>
  <si>
    <t>Norfolk</t>
  </si>
  <si>
    <t>http://www.rgpc.com/ncrcgeneralinformation.htm</t>
  </si>
  <si>
    <t>Livonia, Avon &amp; Lakeville/ B&amp;H Railcorp</t>
  </si>
  <si>
    <t>LAL</t>
  </si>
  <si>
    <t>Lakeville</t>
  </si>
  <si>
    <t>http://www.lalrr.com</t>
  </si>
  <si>
    <t>New York &amp; Atlantic Railway</t>
  </si>
  <si>
    <t>NYAR</t>
  </si>
  <si>
    <t>Glendale</t>
  </si>
  <si>
    <t>http://www.anacostia.com/nya/nya.html</t>
  </si>
  <si>
    <t>Paducah &amp; Louisville Railway</t>
  </si>
  <si>
    <t>P&amp;L Transportation, Inc.</t>
  </si>
  <si>
    <t>PAL</t>
  </si>
  <si>
    <t>Paducah</t>
  </si>
  <si>
    <t>KY</t>
  </si>
  <si>
    <t>http://www.palrr.com</t>
  </si>
  <si>
    <t>Quebec North Shore &amp; Labrador Railway Company</t>
  </si>
  <si>
    <t>QNSL</t>
  </si>
  <si>
    <t>sept-iles</t>
  </si>
  <si>
    <t>http://www.ironore.ca</t>
  </si>
  <si>
    <t>Central Midland Railroad</t>
  </si>
  <si>
    <t>CMR</t>
  </si>
  <si>
    <t>Indianapolis</t>
  </si>
  <si>
    <t>http://www.cmrailway.com</t>
  </si>
  <si>
    <t>Delaware Otsego Corp</t>
  </si>
  <si>
    <t>Cooperstown</t>
  </si>
  <si>
    <t>http://www.nysw.com</t>
  </si>
  <si>
    <t>New York Susquehanna &amp; Western Railway</t>
  </si>
  <si>
    <t>http://www.nysw.com/</t>
  </si>
  <si>
    <t>Western New York &amp; Pennsylvania Railroad</t>
  </si>
  <si>
    <t>WNYP</t>
  </si>
  <si>
    <t>Falconer</t>
  </si>
  <si>
    <t>http://www.wnyprr.com</t>
  </si>
  <si>
    <t>Terminal Railroad Association of St Louis</t>
  </si>
  <si>
    <t>St Louis</t>
  </si>
  <si>
    <t>http://www.terminalrailroad.com</t>
  </si>
  <si>
    <t>Twin Cities &amp; Western Railroad Co</t>
  </si>
  <si>
    <t>TCWR</t>
  </si>
  <si>
    <t>Glencoe</t>
  </si>
  <si>
    <t>http://www.tcwr.net</t>
  </si>
  <si>
    <t>Indiana Rail Road</t>
  </si>
  <si>
    <t>INRD</t>
  </si>
  <si>
    <t>http://www.inrd.com</t>
  </si>
  <si>
    <t>Idaho Northern &amp; Pacific Railroad</t>
  </si>
  <si>
    <t>INPR</t>
  </si>
  <si>
    <t>Emmett</t>
  </si>
  <si>
    <t>Florida Railroads</t>
  </si>
  <si>
    <t>Plymouth</t>
  </si>
  <si>
    <t>http://www.pinsley.com</t>
  </si>
  <si>
    <t>Tacoma Rail</t>
  </si>
  <si>
    <t>TMBL</t>
  </si>
  <si>
    <t>Tacoma</t>
  </si>
  <si>
    <t>http://www.tacomarail.com</t>
  </si>
  <si>
    <t>Eastern Washington Gateway Railroad</t>
  </si>
  <si>
    <t>EWGR</t>
  </si>
  <si>
    <t>Athabasca Northern Railway</t>
  </si>
  <si>
    <t>Lac La Biche</t>
  </si>
  <si>
    <t>AB</t>
  </si>
  <si>
    <t>http://www.candoltd.com</t>
  </si>
  <si>
    <t>Quebec Central Railway</t>
  </si>
  <si>
    <t>QCR</t>
  </si>
  <si>
    <t>Vallée Jonction</t>
  </si>
  <si>
    <t>http://www.qcr.groupetraq.com</t>
  </si>
  <si>
    <t>Ottawa Central Railway</t>
  </si>
  <si>
    <t>Quebec Railway Corporation</t>
  </si>
  <si>
    <t>OCRR</t>
  </si>
  <si>
    <t>Dakota Southern Railroad</t>
  </si>
  <si>
    <t>Chamberlain</t>
  </si>
  <si>
    <t>http://www.sddot.com/fpa/railroad</t>
  </si>
  <si>
    <t>Southern Railway Vancouver Island Ltd</t>
  </si>
  <si>
    <t>Nanaimo</t>
  </si>
  <si>
    <t>BC</t>
  </si>
  <si>
    <t>http://www.sryraillink.com</t>
  </si>
  <si>
    <t>Alton &amp; Southern Railway Company</t>
  </si>
  <si>
    <t>East St Louis</t>
  </si>
  <si>
    <t>http://www.altonsouthern.com</t>
  </si>
  <si>
    <t>Port Terminal Railroad</t>
  </si>
  <si>
    <t>PTRA</t>
  </si>
  <si>
    <t>Houston</t>
  </si>
  <si>
    <t>http://www.ptra.com</t>
  </si>
  <si>
    <t>Iowa Northern Railway</t>
  </si>
  <si>
    <t>INRW</t>
  </si>
  <si>
    <t>Greene</t>
  </si>
  <si>
    <t>http://www.iowanorthern.com</t>
  </si>
  <si>
    <t>Fort Worth &amp; Western Railroad</t>
  </si>
  <si>
    <t>FWWR</t>
  </si>
  <si>
    <t>Fort Worth</t>
  </si>
  <si>
    <t>http://www.fwrr.net</t>
  </si>
  <si>
    <t>Delta Southern Railroad</t>
  </si>
  <si>
    <t>DSRR</t>
  </si>
  <si>
    <t>Tallulah</t>
  </si>
  <si>
    <t>http://www.deltasouthernrailroad.com</t>
  </si>
  <si>
    <t>Appalachian &amp; Ohio Railroad</t>
  </si>
  <si>
    <t>Buckhannon</t>
  </si>
  <si>
    <t>Finger Lakes Railway</t>
  </si>
  <si>
    <t>http://wwwfglkrail.com</t>
  </si>
  <si>
    <t>Kankakee, Beaverville &amp; Southern Railroad</t>
  </si>
  <si>
    <t>KBSR</t>
  </si>
  <si>
    <t>Iroquois</t>
  </si>
  <si>
    <t>http://www.kbsrailroad.com</t>
  </si>
  <si>
    <t>Texas Mexican Railway Co</t>
  </si>
  <si>
    <t>Laredo</t>
  </si>
  <si>
    <t>http://www.kcsi.com/corporate/tmr.html</t>
  </si>
  <si>
    <t>Carrizo Gorge Railway Inc</t>
  </si>
  <si>
    <t>Lakeside</t>
  </si>
  <si>
    <t>http://www.carrizogorgerailway.com</t>
  </si>
  <si>
    <t>Austin Terminal Railroad</t>
  </si>
  <si>
    <t>Round Rock</t>
  </si>
  <si>
    <t>http://www.tgsgroup.com</t>
  </si>
  <si>
    <t>Aberdeen, Carolina &amp; Western Railway Company</t>
  </si>
  <si>
    <t>ACWR</t>
  </si>
  <si>
    <t>Star</t>
  </si>
  <si>
    <t>http://www.acwr.com</t>
  </si>
  <si>
    <t>D &amp; I Railroad Co</t>
  </si>
  <si>
    <t>http://www.lgeverist.com</t>
  </si>
  <si>
    <t>Arkansas - Missouri Railroad</t>
  </si>
  <si>
    <t>AMR</t>
  </si>
  <si>
    <t>Springdale</t>
  </si>
  <si>
    <t>http://www.arkansasmissouri-rr.com</t>
  </si>
  <si>
    <t>West Virginia Central Railroad</t>
  </si>
  <si>
    <t>WVCR</t>
  </si>
  <si>
    <t>Durbin</t>
  </si>
  <si>
    <t>http://www.wvdot.com/4_railways</t>
  </si>
  <si>
    <t>Indiana Northeastern Rail Road</t>
  </si>
  <si>
    <t>Hillsdale</t>
  </si>
  <si>
    <t>Agence metropolitaine de Transport</t>
  </si>
  <si>
    <t>http://www.amt.qc.ca</t>
  </si>
  <si>
    <t>Tacoma Eastern Railway</t>
  </si>
  <si>
    <t>TE</t>
  </si>
  <si>
    <t>Bay Colony Railroad Corp</t>
  </si>
  <si>
    <t>Braintree</t>
  </si>
  <si>
    <t>http://www.baycolonyrr.com</t>
  </si>
  <si>
    <t>Nebraska Northeastern Railway</t>
  </si>
  <si>
    <t>NERR</t>
  </si>
  <si>
    <t>Osmond</t>
  </si>
  <si>
    <t>Seminole Gulf Railway</t>
  </si>
  <si>
    <t>Fort Meyers</t>
  </si>
  <si>
    <t>http://www.semgulf.com</t>
  </si>
  <si>
    <t>New Brunswick Southern</t>
  </si>
  <si>
    <t>JD Irving</t>
  </si>
  <si>
    <t>NBSR</t>
  </si>
  <si>
    <t>Saint John</t>
  </si>
  <si>
    <t>NB</t>
  </si>
  <si>
    <t>http://www.nbsouthern.com</t>
  </si>
  <si>
    <t>Central Manitoba Railway</t>
  </si>
  <si>
    <t>CEMR</t>
  </si>
  <si>
    <t>Winnipeg</t>
  </si>
  <si>
    <t>http://www.cemrr.com/</t>
  </si>
  <si>
    <t>Maryland &amp; Delaware Railroad</t>
  </si>
  <si>
    <t>MDDE</t>
  </si>
  <si>
    <t>Federalsburg</t>
  </si>
  <si>
    <t>http://www.mdde.com</t>
  </si>
  <si>
    <t>Minnesota Commercial Railway</t>
  </si>
  <si>
    <t>MNNR</t>
  </si>
  <si>
    <t>St Paul</t>
  </si>
  <si>
    <t>http://www.mnnr.net</t>
  </si>
  <si>
    <t>Louisville &amp; Indiana Railroad</t>
  </si>
  <si>
    <t>LIRC</t>
  </si>
  <si>
    <t>Jeffersonville</t>
  </si>
  <si>
    <t>http://www.anacostia.com/lirc/lir.html</t>
  </si>
  <si>
    <t>Kelowna Pacific Railway</t>
  </si>
  <si>
    <t>KPR</t>
  </si>
  <si>
    <t>Vernon</t>
  </si>
  <si>
    <t>Columbia Basin Railroad Company</t>
  </si>
  <si>
    <t>CBRW</t>
  </si>
  <si>
    <t>Yakima</t>
  </si>
  <si>
    <t>http://www.cbrr.com/</t>
  </si>
  <si>
    <t>South Central Florida Express</t>
  </si>
  <si>
    <t>Clewiston</t>
  </si>
  <si>
    <t>http://www.ussugar.com/sugar/sugar_railroad.html</t>
  </si>
  <si>
    <t>Wichita, Tillman &amp; Jackson Railway Co Inc</t>
  </si>
  <si>
    <t>Wichita Falls</t>
  </si>
  <si>
    <t>http://www.rgpc.com</t>
  </si>
  <si>
    <t>Arkansas &amp; Oklahoma Railroad</t>
  </si>
  <si>
    <t>Wilburton</t>
  </si>
  <si>
    <t>Southern Railway of British Columbia</t>
  </si>
  <si>
    <t>New Westminster</t>
  </si>
  <si>
    <t>Mississippi Export Railroad Co</t>
  </si>
  <si>
    <t>MESR</t>
  </si>
  <si>
    <t>Moss Point</t>
  </si>
  <si>
    <t>http://www.mserailroad.com</t>
  </si>
  <si>
    <t>Chicago South Shore &amp; South Bend RR</t>
  </si>
  <si>
    <t>Michican City</t>
  </si>
  <si>
    <t>http://www.anacostia.com/css/css.html</t>
  </si>
  <si>
    <t>Nebkota Railway</t>
  </si>
  <si>
    <t>CHadron</t>
  </si>
  <si>
    <t>Safe Handling Inc</t>
  </si>
  <si>
    <t>http://www.savagesafehandling.com/home.php</t>
  </si>
  <si>
    <t>Yadkin Valley Railroad</t>
  </si>
  <si>
    <t>Gulf &amp; Ohio Railways, Inc.</t>
  </si>
  <si>
    <t>YVRR</t>
  </si>
  <si>
    <t>Rural Hall</t>
  </si>
  <si>
    <t>Greater Winnipeg Water District Railway</t>
  </si>
  <si>
    <t>http://www.winnipeg.ca/waterandwaste/dept/railway.stm</t>
  </si>
  <si>
    <t>Indiana Harbor Belt</t>
  </si>
  <si>
    <t>IHB</t>
  </si>
  <si>
    <t>Hammond</t>
  </si>
  <si>
    <t>http://www.ihbrr.com</t>
  </si>
  <si>
    <t>McCloud Railway</t>
  </si>
  <si>
    <t>McCloud</t>
  </si>
  <si>
    <t>http://www.mccloudriverrailroad.com</t>
  </si>
  <si>
    <t>Winston-Salem Southbound Railway</t>
  </si>
  <si>
    <t>WSSB</t>
  </si>
  <si>
    <t>Winston-Salem</t>
  </si>
  <si>
    <t>Minnesota Central Railroad</t>
  </si>
  <si>
    <t>MCTA</t>
  </si>
  <si>
    <t>Appleton</t>
  </si>
  <si>
    <t>Port of Tillamook Bay Railroad</t>
  </si>
  <si>
    <t>POTB</t>
  </si>
  <si>
    <t>Tillamook</t>
  </si>
  <si>
    <t>http://www.potb.org</t>
  </si>
  <si>
    <t>Kansas City Terminal Railway</t>
  </si>
  <si>
    <t>Virginia Railway Express</t>
  </si>
  <si>
    <t>Alexandria</t>
  </si>
  <si>
    <t>http://www.vre.org</t>
  </si>
  <si>
    <t>Central Montana Rail Inc</t>
  </si>
  <si>
    <t>Denton</t>
  </si>
  <si>
    <t>Sydney Coal Railway</t>
  </si>
  <si>
    <t>SCR</t>
  </si>
  <si>
    <t>Sydney</t>
  </si>
  <si>
    <t>Altamont Commuter Express</t>
  </si>
  <si>
    <t>http://wwwacerail.com</t>
  </si>
  <si>
    <t>Chemin de fer Charlevoix</t>
  </si>
  <si>
    <t>Le Massif de Charlevoix</t>
  </si>
  <si>
    <t>CFC</t>
  </si>
  <si>
    <t>Clermont</t>
  </si>
  <si>
    <t>Albany &amp; Eastern Railroad</t>
  </si>
  <si>
    <t>AERC</t>
  </si>
  <si>
    <t>Lebanon</t>
  </si>
  <si>
    <t>Los Angeles Metro</t>
  </si>
  <si>
    <t>Los Angeles</t>
  </si>
  <si>
    <t>http://www.mta.net</t>
  </si>
  <si>
    <t>New Hampshire &amp; Vermont Railroad</t>
  </si>
  <si>
    <t>NHVR</t>
  </si>
  <si>
    <t>Black Mesa &amp; Lake Powell Railroad</t>
  </si>
  <si>
    <t>Page</t>
  </si>
  <si>
    <t>http://www.peabodyenergy.com</t>
  </si>
  <si>
    <t>Georgia Midland Railroad</t>
  </si>
  <si>
    <t>Knox &amp; Kane Railroad</t>
  </si>
  <si>
    <t>Marienville</t>
  </si>
  <si>
    <t>Caltrain</t>
  </si>
  <si>
    <t>San Carlos</t>
  </si>
  <si>
    <t>Terminal Railway Alabama State Port Authority</t>
  </si>
  <si>
    <t>Mobile</t>
  </si>
  <si>
    <t>http://www.asdd.com</t>
  </si>
  <si>
    <t>Southern Railroad of New Jersey</t>
  </si>
  <si>
    <t>SRNJ</t>
  </si>
  <si>
    <t>Willingborough</t>
  </si>
  <si>
    <t>NJ</t>
  </si>
  <si>
    <t>Carolina Southern Railroad</t>
  </si>
  <si>
    <t>Chadbourne</t>
  </si>
  <si>
    <t>Translink</t>
  </si>
  <si>
    <t>http://www.translink.ca/</t>
  </si>
  <si>
    <t>Trillium Railway</t>
  </si>
  <si>
    <t>Port Colborne</t>
  </si>
  <si>
    <t>http://www.trilliumrailway.com</t>
  </si>
  <si>
    <t>Housatonic Railway</t>
  </si>
  <si>
    <t>HRRC</t>
  </si>
  <si>
    <t>Canaan</t>
  </si>
  <si>
    <t>http://www.housatonicrailroad.com</t>
  </si>
  <si>
    <t>Tri-Rail</t>
  </si>
  <si>
    <t>Pompano Beach</t>
  </si>
  <si>
    <t>http://www.sfrta.fl.gov</t>
  </si>
  <si>
    <t>Copper Basin Railway</t>
  </si>
  <si>
    <t>Hayden</t>
  </si>
  <si>
    <t>Red Coat Road &amp; Rail Ltd</t>
  </si>
  <si>
    <t>Viceroy</t>
  </si>
  <si>
    <t>Ashland Railway</t>
  </si>
  <si>
    <t>ARC</t>
  </si>
  <si>
    <t>Mansfield</t>
  </si>
  <si>
    <t>http://www.ashlandrailway.com</t>
  </si>
  <si>
    <t>St Maries River Railroad</t>
  </si>
  <si>
    <t>STMA</t>
  </si>
  <si>
    <t>St Maries</t>
  </si>
  <si>
    <t>http://www.potlatchcorp.com</t>
  </si>
  <si>
    <t>Bay Coast Railroad</t>
  </si>
  <si>
    <t>Cape Charles</t>
  </si>
  <si>
    <t>Last Mountain Railway</t>
  </si>
  <si>
    <t>Fillmore Western Railway</t>
  </si>
  <si>
    <t>Freemont</t>
  </si>
  <si>
    <t>http://www.fwry.com</t>
  </si>
  <si>
    <t>Saginaw Bay Southern</t>
  </si>
  <si>
    <t>SBS</t>
  </si>
  <si>
    <t>Nittany &amp; Bald Eagle Railroad</t>
  </si>
  <si>
    <t>http://www.nshr.com/nebr/nber.shtml</t>
  </si>
  <si>
    <t>Aberdeen &amp; Rockfish Railroad</t>
  </si>
  <si>
    <t>Aberdeen</t>
  </si>
  <si>
    <t>http://www.aberdeen-rockfish.com</t>
  </si>
  <si>
    <t>ISG Railways</t>
  </si>
  <si>
    <t>Martin Tower</t>
  </si>
  <si>
    <t>Cumbres &amp; Toltec Scenic Railroad</t>
  </si>
  <si>
    <t>Chama</t>
  </si>
  <si>
    <t>http://www.cumbrestoltec.com</t>
  </si>
  <si>
    <t>Barrie-Collingwood Railway</t>
  </si>
  <si>
    <t>Barrie</t>
  </si>
  <si>
    <t>http://www,candoltd.com</t>
  </si>
  <si>
    <t>Acadiana Railway</t>
  </si>
  <si>
    <t>AKDN</t>
  </si>
  <si>
    <t>Opelousas</t>
  </si>
  <si>
    <t>Pend Oreille Valley Railroad</t>
  </si>
  <si>
    <t>POVA</t>
  </si>
  <si>
    <t>Usk</t>
  </si>
  <si>
    <t>http://www.povarr.com</t>
  </si>
  <si>
    <t>Elk River Railroad</t>
  </si>
  <si>
    <t>Summersville</t>
  </si>
  <si>
    <t>Mississippi Delta Railroad</t>
  </si>
  <si>
    <t>MSDR</t>
  </si>
  <si>
    <t>St Croix Valley Railroad</t>
  </si>
  <si>
    <t>SCXY</t>
  </si>
  <si>
    <t>Hinckley</t>
  </si>
  <si>
    <t>Blacklands Railroad</t>
  </si>
  <si>
    <t>BLR</t>
  </si>
  <si>
    <t>Sulphur Springs</t>
  </si>
  <si>
    <t>http://www.blacklandsrailroad.com/</t>
  </si>
  <si>
    <t>Caney Fork &amp; Western Railroad</t>
  </si>
  <si>
    <t>McMinnville</t>
  </si>
  <si>
    <t>http://www.caneyforkwestern.com</t>
  </si>
  <si>
    <t>Delaware–Lackawanna Railroad</t>
  </si>
  <si>
    <t>Genesee Valley Transportation Co</t>
  </si>
  <si>
    <t>DL</t>
  </si>
  <si>
    <t>Batavia</t>
  </si>
  <si>
    <t>http://www.gvtrail.com/</t>
  </si>
  <si>
    <t>Windsor &amp; Hantsport Railway Co Ltd</t>
  </si>
  <si>
    <t>WHRC</t>
  </si>
  <si>
    <t>http://www.whrail.ca</t>
  </si>
  <si>
    <t>Lackawanna County Railroad</t>
  </si>
  <si>
    <t>Scranton</t>
  </si>
  <si>
    <t>Lake Superior &amp; Ishpeming Railroad</t>
  </si>
  <si>
    <t>Ishpeming</t>
  </si>
  <si>
    <t>Southern Rails Cooperative LTD</t>
  </si>
  <si>
    <t>SORA</t>
  </si>
  <si>
    <t>Avonlea</t>
  </si>
  <si>
    <t>http://cnplus.cn.ca/IT/Shortlines/SL_Static.nsf/Shortlines/34922D5A4ACED220852567550056D445</t>
  </si>
  <si>
    <t>Caddo Valley Railroad</t>
  </si>
  <si>
    <t>Glenwood</t>
  </si>
  <si>
    <t>Roberval &amp; Saguenay Railway Co.</t>
  </si>
  <si>
    <t>CFRS</t>
  </si>
  <si>
    <t>Jonquiere</t>
  </si>
  <si>
    <t>Belt Railway Co of Chicago</t>
  </si>
  <si>
    <t>Bedford Park</t>
  </si>
  <si>
    <t>http://www.beltrailway.com</t>
  </si>
  <si>
    <t>South Carolina Public Railways</t>
  </si>
  <si>
    <t>Charleston</t>
  </si>
  <si>
    <t>Lake County Railroad</t>
  </si>
  <si>
    <t>Lakeview</t>
  </si>
  <si>
    <t>Cedar Rapids &amp; Iowa City Railway</t>
  </si>
  <si>
    <t>CIC</t>
  </si>
  <si>
    <t>Cedar Rapids</t>
  </si>
  <si>
    <t>http://www.crandic.com</t>
  </si>
  <si>
    <t>Ontario Midland Railroad</t>
  </si>
  <si>
    <t>OMID</t>
  </si>
  <si>
    <t>Sodus</t>
  </si>
  <si>
    <t>Meridian Southern Railroad</t>
  </si>
  <si>
    <t>MDS</t>
  </si>
  <si>
    <t>Waynesboro</t>
  </si>
  <si>
    <t>http://www.meridiansouthern.com</t>
  </si>
  <si>
    <t>Tennken Railroad</t>
  </si>
  <si>
    <t>TKEN</t>
  </si>
  <si>
    <t>Sea Bright</t>
  </si>
  <si>
    <t>South Branch Valley Railroad</t>
  </si>
  <si>
    <t>SBVR</t>
  </si>
  <si>
    <t>Moorefield</t>
  </si>
  <si>
    <t>http://www.wvdot.com</t>
  </si>
  <si>
    <t>Bloomer Railroad</t>
  </si>
  <si>
    <t>Gibson City</t>
  </si>
  <si>
    <t>http://www.alliance-grain.com</t>
  </si>
  <si>
    <t>South Central Tennessee RR Co.</t>
  </si>
  <si>
    <t>Centerville</t>
  </si>
  <si>
    <t>Transkentucky Transportation Railroad</t>
  </si>
  <si>
    <t>TTIS</t>
  </si>
  <si>
    <t>Paris</t>
  </si>
  <si>
    <t>http://www.ttirailroad.com</t>
  </si>
  <si>
    <t>Maumee &amp; Western Railroad</t>
  </si>
  <si>
    <t>MAW</t>
  </si>
  <si>
    <t>Defiance</t>
  </si>
  <si>
    <t>AT &amp; L Railroad Co</t>
  </si>
  <si>
    <t>Watonga</t>
  </si>
  <si>
    <t>New York &amp; Lake Erie Railroad</t>
  </si>
  <si>
    <t>Gowanda</t>
  </si>
  <si>
    <t>http://www.nylerr.com</t>
  </si>
  <si>
    <t>Texas North Western Railway Co</t>
  </si>
  <si>
    <t>TXNW</t>
  </si>
  <si>
    <t>Sunday</t>
  </si>
  <si>
    <t>Eastern Illinois Railroad</t>
  </si>
  <si>
    <t>Rio Valley Switching Co.</t>
  </si>
  <si>
    <t>Ironhorse Resources Inc.</t>
  </si>
  <si>
    <t>RVSC</t>
  </si>
  <si>
    <t>McAllen</t>
  </si>
  <si>
    <t>http://www.riovalleyswitching.com</t>
  </si>
  <si>
    <t>Genesee &amp; Wyoming Inc</t>
  </si>
  <si>
    <t>G&amp;W</t>
  </si>
  <si>
    <t>Darien</t>
  </si>
  <si>
    <t>http://www.gwrr.com/railroads/north_america/kiamichi_railroad#m_tab-one-panel</t>
  </si>
  <si>
    <t>New England Southern Railroad</t>
  </si>
  <si>
    <t>NEGS</t>
  </si>
  <si>
    <t>Concord</t>
  </si>
  <si>
    <t>NH</t>
  </si>
  <si>
    <t>East Camden &amp; Highland Railroad</t>
  </si>
  <si>
    <t>East Camden</t>
  </si>
  <si>
    <t>http://www.eachrailroad.com</t>
  </si>
  <si>
    <t>Wheatland Railway Inc</t>
  </si>
  <si>
    <t>Cudworth</t>
  </si>
  <si>
    <t>Apache Railway Co</t>
  </si>
  <si>
    <t>Snowflake</t>
  </si>
  <si>
    <t>CG Railway Inc</t>
  </si>
  <si>
    <t>http://www.cgrailway.com</t>
  </si>
  <si>
    <t>Wyoming-Colorado Railroad</t>
  </si>
  <si>
    <t>WCRI</t>
  </si>
  <si>
    <t>Ogden</t>
  </si>
  <si>
    <t>Redmont Railway Co. Inc.</t>
  </si>
  <si>
    <t>Red Bay</t>
  </si>
  <si>
    <t>Lancaster &amp; Chester Railway Company</t>
  </si>
  <si>
    <t>Lancaster</t>
  </si>
  <si>
    <t>Hampton &amp; Branchville Railroad</t>
  </si>
  <si>
    <t>Hampton</t>
  </si>
  <si>
    <t>Ohi-Rail Corp</t>
  </si>
  <si>
    <t>OHIC</t>
  </si>
  <si>
    <t>Mechanicstown</t>
  </si>
  <si>
    <t>http://www.ohirail.freeshell.org</t>
  </si>
  <si>
    <t>Durango &amp; Silverton Narrow Gauge Railroad</t>
  </si>
  <si>
    <t>Durango</t>
  </si>
  <si>
    <t>http://www.durangotrain.com</t>
  </si>
  <si>
    <t>Ontario Southland Railway</t>
  </si>
  <si>
    <t>OSR</t>
  </si>
  <si>
    <t>London</t>
  </si>
  <si>
    <t>http://www.osrinc.ca</t>
  </si>
  <si>
    <t>STM Montreal</t>
  </si>
  <si>
    <t>STM</t>
  </si>
  <si>
    <t>http://www.stm.info</t>
  </si>
  <si>
    <t>Jefferson Warrior Railroad Co</t>
  </si>
  <si>
    <t>JEPX</t>
  </si>
  <si>
    <t>Birmingham</t>
  </si>
  <si>
    <t>Sky Train</t>
  </si>
  <si>
    <t>Burnaby</t>
  </si>
  <si>
    <t>http://www.translink.bc.ca</t>
  </si>
  <si>
    <t>West Coast Express</t>
  </si>
  <si>
    <t>Vancouver</t>
  </si>
  <si>
    <t>http://www.westcoastexpress.com</t>
  </si>
  <si>
    <t>San Pedro &amp; Southwestern Railway</t>
  </si>
  <si>
    <t>SPSR</t>
  </si>
  <si>
    <t>Benson</t>
  </si>
  <si>
    <t>North Shore Railroad</t>
  </si>
  <si>
    <t>NSHR</t>
  </si>
  <si>
    <t>Northcumberland</t>
  </si>
  <si>
    <t>http://www.nshr.com</t>
  </si>
  <si>
    <t>West Tennessee Railroad Corp</t>
  </si>
  <si>
    <t>Jackson</t>
  </si>
  <si>
    <t>Southwest Pennsylvania Railroad</t>
  </si>
  <si>
    <t>SWPA</t>
  </si>
  <si>
    <t>Oakmont</t>
  </si>
  <si>
    <t>http://www.carloadexpress.com</t>
  </si>
  <si>
    <t>Manufacturers Railway</t>
  </si>
  <si>
    <t>http://www.anheuser-busch.com/overview/railway.htm</t>
  </si>
  <si>
    <t>NC Railroad</t>
  </si>
  <si>
    <t>http://www.nationalcoal.com</t>
  </si>
  <si>
    <t>White Pass &amp; Yukon Route</t>
  </si>
  <si>
    <t>Skagway</t>
  </si>
  <si>
    <t>http://www.wpyr.com</t>
  </si>
  <si>
    <t>Pacific Harbor Line Inc</t>
  </si>
  <si>
    <t>PHL</t>
  </si>
  <si>
    <t>http://www.anacostia.com/phl/phl.html</t>
  </si>
  <si>
    <t>Minnesota Southern Railway</t>
  </si>
  <si>
    <t>Luverne</t>
  </si>
  <si>
    <t>Texas, Oklahoma &amp; Eastern Rail Road</t>
  </si>
  <si>
    <t>Sabine River &amp; Northern Railroad</t>
  </si>
  <si>
    <t>Orange</t>
  </si>
  <si>
    <t>http://www.templeinland.com</t>
  </si>
  <si>
    <t>Arizona Central Railroad</t>
  </si>
  <si>
    <t>Clarkdale</t>
  </si>
  <si>
    <t>Sisseton Milbank Railway</t>
  </si>
  <si>
    <t>Sisseton</t>
  </si>
  <si>
    <t>Gary Railway</t>
  </si>
  <si>
    <t>Sacramento RTD</t>
  </si>
  <si>
    <t>SRTD</t>
  </si>
  <si>
    <t>Sacramento</t>
  </si>
  <si>
    <t>http://www.sacrt.com</t>
  </si>
  <si>
    <t>Lycoming Valley Railroad Co</t>
  </si>
  <si>
    <t>LVRR</t>
  </si>
  <si>
    <t>Batten Kill Railroad Co</t>
  </si>
  <si>
    <t>Greenwich</t>
  </si>
  <si>
    <t>Iowa Northwestern Railroad</t>
  </si>
  <si>
    <t>Omaha</t>
  </si>
  <si>
    <t>http://www.ianwrr.com</t>
  </si>
  <si>
    <t>Santa Clara Valley Transportation Authority</t>
  </si>
  <si>
    <t>VTA</t>
  </si>
  <si>
    <t>San Jose</t>
  </si>
  <si>
    <t>http://www.vta.org</t>
  </si>
  <si>
    <t>Blue Mountain Energy</t>
  </si>
  <si>
    <t>South Jordan</t>
  </si>
  <si>
    <t>http://www.deseretgt.com</t>
  </si>
  <si>
    <t>Blackwell Northern Gateway Railroad</t>
  </si>
  <si>
    <t>Blackwell</t>
  </si>
  <si>
    <t>http://www.blackwellrr.com</t>
  </si>
  <si>
    <t>Appanoose County Community Rail Road</t>
  </si>
  <si>
    <t>Denver Regional Transportation District</t>
  </si>
  <si>
    <t>Denver</t>
  </si>
  <si>
    <t>http://www.rtd-denver.com</t>
  </si>
  <si>
    <t>San Francisco Municipal Transportation Agency</t>
  </si>
  <si>
    <t>http://www.sfmuni.com</t>
  </si>
  <si>
    <t>Gloster Southern Railroad</t>
  </si>
  <si>
    <t>http://www.gp.com</t>
  </si>
  <si>
    <t>High Point, Thomasville &amp; Denton Rail Road</t>
  </si>
  <si>
    <t>Pickens Railroad Co</t>
  </si>
  <si>
    <t>PICK</t>
  </si>
  <si>
    <t>Pickens</t>
  </si>
  <si>
    <t>Luzerne &amp; Susquehanna Railway</t>
  </si>
  <si>
    <t>Oswego</t>
  </si>
  <si>
    <t>http://www.lsry.net</t>
  </si>
  <si>
    <t>Great River Railroad</t>
  </si>
  <si>
    <t>Rosedale</t>
  </si>
  <si>
    <t>Washington Terminal Company</t>
  </si>
  <si>
    <t>Washington, DC</t>
  </si>
  <si>
    <t>DE</t>
  </si>
  <si>
    <t>Capital MetroRail</t>
  </si>
  <si>
    <t>Austin</t>
  </si>
  <si>
    <t>http://www.capmetro.com</t>
  </si>
  <si>
    <t>Border Pacific Railroad</t>
  </si>
  <si>
    <t>Rio Grande City</t>
  </si>
  <si>
    <t>Trona Railway</t>
  </si>
  <si>
    <t>TRC</t>
  </si>
  <si>
    <t>Trona</t>
  </si>
  <si>
    <t>http://www.imchemiclals.com</t>
  </si>
  <si>
    <t>Buffalo Southern Railroad</t>
  </si>
  <si>
    <t>Eden</t>
  </si>
  <si>
    <t>DOW CHEMICAL</t>
  </si>
  <si>
    <t>BHP Railroads</t>
  </si>
  <si>
    <t>San Manuel</t>
  </si>
  <si>
    <t>Northern Lines Railway</t>
  </si>
  <si>
    <t>St. Clud</t>
  </si>
  <si>
    <t>http://www.anacostia.com/nlr/nlr.html</t>
  </si>
  <si>
    <t>Union Railroad</t>
  </si>
  <si>
    <t>Pittsburgh</t>
  </si>
  <si>
    <t>Colorado &amp; Wyoming Railway Co.</t>
  </si>
  <si>
    <t>Pueblo</t>
  </si>
  <si>
    <t>Norfolk &amp; Portsmouth Belt Line Rail Road Co.</t>
  </si>
  <si>
    <t>Portsmouth</t>
  </si>
  <si>
    <t>http://www.npblrr.com</t>
  </si>
  <si>
    <t>Ouachita Railroad</t>
  </si>
  <si>
    <t>OUCH</t>
  </si>
  <si>
    <t>Sierra Northern Railway</t>
  </si>
  <si>
    <t>http://www.sierrarailroad.com</t>
  </si>
  <si>
    <t>Quincy Railroad Co.</t>
  </si>
  <si>
    <t>QRR</t>
  </si>
  <si>
    <t>Quincy</t>
  </si>
  <si>
    <t>http://www.spi-ind.com</t>
  </si>
  <si>
    <t>Massachusetts Central Railroad Corp</t>
  </si>
  <si>
    <t>MCER</t>
  </si>
  <si>
    <t>Palmer</t>
  </si>
  <si>
    <t>http://www.masscentralrr.com</t>
  </si>
  <si>
    <t>C&amp;NC Railroad</t>
  </si>
  <si>
    <t>Connersville</t>
  </si>
  <si>
    <t>Boot Hill &amp; Western Railway</t>
  </si>
  <si>
    <t>Wright</t>
  </si>
  <si>
    <t>http://www.rightcoop.com</t>
  </si>
  <si>
    <t>Stourbridge Railroad Co</t>
  </si>
  <si>
    <t>Wabash Central Railroad</t>
  </si>
  <si>
    <t>Corydon</t>
  </si>
  <si>
    <t>Shamokin Valley Railroad Co</t>
  </si>
  <si>
    <t>SVRR</t>
  </si>
  <si>
    <t>http://www.nshr.com/SVRR%20page.html</t>
  </si>
  <si>
    <t>Essex Terminal Railway</t>
  </si>
  <si>
    <t>http://www.etr.ca</t>
  </si>
  <si>
    <t>Mississippian Railway Coop Inc</t>
  </si>
  <si>
    <t>MSRC</t>
  </si>
  <si>
    <t>Armory</t>
  </si>
  <si>
    <t>New Orleans &amp; Gulf Coast Railway</t>
  </si>
  <si>
    <t>NOGC</t>
  </si>
  <si>
    <t>Belle Chasse</t>
  </si>
  <si>
    <t>http://www.rgpc.com/nogcgeneralinformation.htm</t>
  </si>
  <si>
    <t>New Hampshire Central Railroad</t>
  </si>
  <si>
    <t>NHCR</t>
  </si>
  <si>
    <t>North Stratford</t>
  </si>
  <si>
    <t>http://www.newhampshirecentralrailroad.com/index.html</t>
  </si>
  <si>
    <t>Central New England Railroad Inc</t>
  </si>
  <si>
    <t>Newington</t>
  </si>
  <si>
    <t>Allegheny Valley Railroad</t>
  </si>
  <si>
    <t>Carload Express Inc</t>
  </si>
  <si>
    <t>AVR</t>
  </si>
  <si>
    <t>San Diego Northern Railway</t>
  </si>
  <si>
    <t>Oceanside</t>
  </si>
  <si>
    <t>http://www.gonctd.com</t>
  </si>
  <si>
    <t>Adrian &amp; Blissfield Railroad</t>
  </si>
  <si>
    <t>ADBF</t>
  </si>
  <si>
    <t>Madison Heights</t>
  </si>
  <si>
    <t>Knoxville &amp; Holston River Railroad</t>
  </si>
  <si>
    <t>http://www.gulfandohio.com/kxhr</t>
  </si>
  <si>
    <t>Angelina &amp; Neches River Railroad Co</t>
  </si>
  <si>
    <t>Lufkin</t>
  </si>
  <si>
    <t>http://www.anrrr.com</t>
  </si>
  <si>
    <t>Oregon Pacific Railroad</t>
  </si>
  <si>
    <t>Portland</t>
  </si>
  <si>
    <t>Kosciusko &amp; Southwestern Railway</t>
  </si>
  <si>
    <t>KSRY</t>
  </si>
  <si>
    <t>James</t>
  </si>
  <si>
    <t>http://www.ksry.com</t>
  </si>
  <si>
    <t>Valley Metro Rail</t>
  </si>
  <si>
    <t>VMR</t>
  </si>
  <si>
    <t>Phoenix</t>
  </si>
  <si>
    <t>http://www.metrolightrail.org</t>
  </si>
  <si>
    <t>Pee Dee River Railway</t>
  </si>
  <si>
    <t>PDRR</t>
  </si>
  <si>
    <t>Canton Railroad Company</t>
  </si>
  <si>
    <t>Baltimore</t>
  </si>
  <si>
    <t>http://www.cantonrr.com</t>
  </si>
  <si>
    <t>Texas South-Eastern Rail Road Co</t>
  </si>
  <si>
    <t>Diboli</t>
  </si>
  <si>
    <t>Hudson-Bergen Light Rail</t>
  </si>
  <si>
    <t>Jersey City</t>
  </si>
  <si>
    <t>http://www.njtransit.com</t>
  </si>
  <si>
    <t>Alexander Railroad Company</t>
  </si>
  <si>
    <t>Taylorsville</t>
  </si>
  <si>
    <t>http://www.alexanderrailroad.com</t>
  </si>
  <si>
    <t>Buckingham Branch Railroad Company</t>
  </si>
  <si>
    <t>BBRR</t>
  </si>
  <si>
    <t>Dillwyn</t>
  </si>
  <si>
    <t>http://www.buckinghambranchrr.com</t>
  </si>
  <si>
    <t>New Hope &amp; Ivyland Railroad</t>
  </si>
  <si>
    <t>New Hope</t>
  </si>
  <si>
    <t>http://www.newhoperailroad.com</t>
  </si>
  <si>
    <t>Albany Port Railroad Corporation</t>
  </si>
  <si>
    <t>APDR</t>
  </si>
  <si>
    <t>Santa Fe Southern Railway</t>
  </si>
  <si>
    <t>Santa Fe</t>
  </si>
  <si>
    <t>http://www.sfsr.com</t>
  </si>
  <si>
    <t>Santa Maria Valley Railroad Co</t>
  </si>
  <si>
    <t>SMVR</t>
  </si>
  <si>
    <t>Santa Maria</t>
  </si>
  <si>
    <t>http://www.smvrr.com</t>
  </si>
  <si>
    <t>Akron Barberton Cluster Railway</t>
  </si>
  <si>
    <t>ABCR</t>
  </si>
  <si>
    <t>Barberton</t>
  </si>
  <si>
    <t>Brandon Corp Railroad</t>
  </si>
  <si>
    <t>Carolina Coastal Railway</t>
  </si>
  <si>
    <t>Langhorne</t>
  </si>
  <si>
    <t>Algers, Winslow &amp; Western Railway</t>
  </si>
  <si>
    <t>AWW</t>
  </si>
  <si>
    <t>Oakland City</t>
  </si>
  <si>
    <t>Delray Connecting Railroad</t>
  </si>
  <si>
    <t>Detroit</t>
  </si>
  <si>
    <t>Somerset Railroad Corp</t>
  </si>
  <si>
    <t>Barker</t>
  </si>
  <si>
    <t>Pioneer Valley Railroad Co</t>
  </si>
  <si>
    <t>PVRR</t>
  </si>
  <si>
    <t>Westfield</t>
  </si>
  <si>
    <t>http://www.pvrr.com</t>
  </si>
  <si>
    <t>Dubois County Railroad</t>
  </si>
  <si>
    <t>French Lick</t>
  </si>
  <si>
    <t>http://www.duboiscountyrr.com</t>
  </si>
  <si>
    <t>Raritan Central Railroad</t>
  </si>
  <si>
    <t>Newton</t>
  </si>
  <si>
    <t>http://www.raritancentralrr.com</t>
  </si>
  <si>
    <t>Ontario Central Railroad</t>
  </si>
  <si>
    <t>ONCT</t>
  </si>
  <si>
    <t>Victor</t>
  </si>
  <si>
    <t>http://www.onctrr.com</t>
  </si>
  <si>
    <t>Poplar River Mine Railway</t>
  </si>
  <si>
    <t>Coronach</t>
  </si>
  <si>
    <t>http://www.royalutilities.com</t>
  </si>
  <si>
    <t>TriMet</t>
  </si>
  <si>
    <t>http://www.trimet.org</t>
  </si>
  <si>
    <t>Crab Orchard &amp; Egyptian Railroad</t>
  </si>
  <si>
    <t>Marion</t>
  </si>
  <si>
    <t>Oil Creek &amp; Titusville Lines</t>
  </si>
  <si>
    <t>OCTL</t>
  </si>
  <si>
    <t>Arcade &amp; Attica Railroad Co</t>
  </si>
  <si>
    <t>Arcade</t>
  </si>
  <si>
    <t>http://www.anarr.com</t>
  </si>
  <si>
    <t>Belvedere &amp; Delaware River Railway</t>
  </si>
  <si>
    <t>Ringoes</t>
  </si>
  <si>
    <t>McKeesport Connecting Railroad</t>
  </si>
  <si>
    <t>MKC</t>
  </si>
  <si>
    <t>WCTU Railway</t>
  </si>
  <si>
    <t>White City</t>
  </si>
  <si>
    <t>Coopersville and Marne Railway</t>
  </si>
  <si>
    <t>CPMY</t>
  </si>
  <si>
    <t>Coopersville</t>
  </si>
  <si>
    <t>http://www.coopersvilleandmarne.org/</t>
  </si>
  <si>
    <t>Port Authority Trans Hudson Corporation</t>
  </si>
  <si>
    <t>PATH</t>
  </si>
  <si>
    <t>http://www.pathrail.com</t>
  </si>
  <si>
    <t>Hollis &amp; Eastern Railroad Co.</t>
  </si>
  <si>
    <t>Duke</t>
  </si>
  <si>
    <t>San Luis Central Railroad</t>
  </si>
  <si>
    <t>Evanston</t>
  </si>
  <si>
    <t>Huntsville &amp; Madison County Railroad Authority</t>
  </si>
  <si>
    <t>Huntsville</t>
  </si>
  <si>
    <t>http://www.hmcrr.com</t>
  </si>
  <si>
    <t>Camp Chase Railroad</t>
  </si>
  <si>
    <t>East Erie Commercial Railroad</t>
  </si>
  <si>
    <t>Erie</t>
  </si>
  <si>
    <t>Juniata Valley Railroad Co</t>
  </si>
  <si>
    <t>JVRR</t>
  </si>
  <si>
    <t>Texas, Gonzales &amp; Northern Railway</t>
  </si>
  <si>
    <t>Sunray</t>
  </si>
  <si>
    <t>Tulsa-Sapulpa Union Railway Co</t>
  </si>
  <si>
    <t>TSU</t>
  </si>
  <si>
    <t>Sapulpa</t>
  </si>
  <si>
    <t>http://www.tsurailway.com</t>
  </si>
  <si>
    <t>Tren Urbano</t>
  </si>
  <si>
    <t>Guaynabo</t>
  </si>
  <si>
    <t>Rock &amp; Rail LLC</t>
  </si>
  <si>
    <t>Colorado Springs</t>
  </si>
  <si>
    <t>SMS Rail Lines</t>
  </si>
  <si>
    <t>Bridgeport</t>
  </si>
  <si>
    <t>http://www.smsrail.com</t>
  </si>
  <si>
    <t>Port Authority of Allegheny County</t>
  </si>
  <si>
    <t>http://www.portauthority.org</t>
  </si>
  <si>
    <t>Alamo Gulf Coast Railroad</t>
  </si>
  <si>
    <t>AGCR</t>
  </si>
  <si>
    <t>San Antonio</t>
  </si>
  <si>
    <t>http://www.martinmarietta.com</t>
  </si>
  <si>
    <t>Southern Switching Co</t>
  </si>
  <si>
    <t>SSC</t>
  </si>
  <si>
    <t>Abilene</t>
  </si>
  <si>
    <t>http://www.southernswitching.com</t>
  </si>
  <si>
    <t>Turtle Creek Industrial Railroad</t>
  </si>
  <si>
    <t>Export</t>
  </si>
  <si>
    <t>http://www.dura-bond.com/railroad.html</t>
  </si>
  <si>
    <t>West Shore Railroad Corp</t>
  </si>
  <si>
    <t>Lewisburg</t>
  </si>
  <si>
    <t>Sandersville Railroad Co</t>
  </si>
  <si>
    <t>SAN</t>
  </si>
  <si>
    <t>Sandersville</t>
  </si>
  <si>
    <t>http://www.sandersvillerailroad.com</t>
  </si>
  <si>
    <t>Port Bienville Railroad</t>
  </si>
  <si>
    <t>PBVR</t>
  </si>
  <si>
    <t>Bay St. Louis</t>
  </si>
  <si>
    <t>Coe Rail Inc</t>
  </si>
  <si>
    <t>Walled Lake</t>
  </si>
  <si>
    <t>Central Indiana &amp; Western Railroad</t>
  </si>
  <si>
    <t>CEIW</t>
  </si>
  <si>
    <t>Lapel</t>
  </si>
  <si>
    <t>Claremont Concord Railroad</t>
  </si>
  <si>
    <t>Claremont</t>
  </si>
  <si>
    <t>http://www.theccrr.com</t>
  </si>
  <si>
    <t>New York New Jersey Rail</t>
  </si>
  <si>
    <t>Brooklyn</t>
  </si>
  <si>
    <t>http://www.nyrr.com</t>
  </si>
  <si>
    <t>Middletown &amp; Hummelstown Railroad</t>
  </si>
  <si>
    <t>Hummelstown</t>
  </si>
  <si>
    <t>http://www.mhrailroad.com</t>
  </si>
  <si>
    <t>Iowa Traction Railroad</t>
  </si>
  <si>
    <t>IATR</t>
  </si>
  <si>
    <t>Mason City</t>
  </si>
  <si>
    <t>http://iatr@netins.net</t>
  </si>
  <si>
    <t>Omaha, Lincoln &amp; Beatrice Railway</t>
  </si>
  <si>
    <t>Lincoln</t>
  </si>
  <si>
    <t>http://www.olbrailway.com</t>
  </si>
  <si>
    <t>CMC Railroad Inc</t>
  </si>
  <si>
    <t>Dayton</t>
  </si>
  <si>
    <t>Chemin de fer de Lanaudière</t>
  </si>
  <si>
    <t>CFL</t>
  </si>
  <si>
    <t>Saint-Felix-de-Valois</t>
  </si>
  <si>
    <t>http://www.bellgaz.qc.ca</t>
  </si>
  <si>
    <t>International Rail Road Systems</t>
  </si>
  <si>
    <t>Christina Lake</t>
  </si>
  <si>
    <t>MetroRail</t>
  </si>
  <si>
    <t>http://www.hou-metro.harris.tx.us</t>
  </si>
  <si>
    <t>Chestnut Ridge Railroad</t>
  </si>
  <si>
    <t>Palmerton</t>
  </si>
  <si>
    <t>Louisville, New Albany &amp; Corydon Railroad</t>
  </si>
  <si>
    <t>http://www.lnacrr.com</t>
  </si>
  <si>
    <t>Semo Port Railroad</t>
  </si>
  <si>
    <t>Scott City</t>
  </si>
  <si>
    <t>http://www.semoport.com</t>
  </si>
  <si>
    <t>Dardanelle &amp; Russellville Railroad</t>
  </si>
  <si>
    <t>New Castle Industrial Railroad Inc</t>
  </si>
  <si>
    <t>New Castle</t>
  </si>
  <si>
    <t>http://www.iss-inc.com</t>
  </si>
  <si>
    <t>MG Rail Inc</t>
  </si>
  <si>
    <t>Jefferson</t>
  </si>
  <si>
    <t>http://www.cgb.com</t>
  </si>
  <si>
    <t>Lahaina, Kaanapali &amp; Pacific Railroad</t>
  </si>
  <si>
    <t>Lahaina</t>
  </si>
  <si>
    <t>HI</t>
  </si>
  <si>
    <t>http://www.sugarcanetrain.com</t>
  </si>
  <si>
    <t>Hutchinson &amp; Northern Railway</t>
  </si>
  <si>
    <t>Lyons</t>
  </si>
  <si>
    <t>El Dorado &amp; Wesson Railway Co</t>
  </si>
  <si>
    <t>El Dorado</t>
  </si>
  <si>
    <t>Southern Indiana Railway Inc</t>
  </si>
  <si>
    <t>SIND</t>
  </si>
  <si>
    <t>Sellersburg</t>
  </si>
  <si>
    <t>Vermilion Valley Railroad</t>
  </si>
  <si>
    <t>VVRR</t>
  </si>
  <si>
    <t>http://www.indianaboxcar.com</t>
  </si>
  <si>
    <t>Hampton Railway</t>
  </si>
  <si>
    <t>Ashtabula, Carson &amp; Jefferson Railroad</t>
  </si>
  <si>
    <t>http://www.acjrailroad.com</t>
  </si>
  <si>
    <t>Capital Railway</t>
  </si>
  <si>
    <t>http://www.octranspo.com</t>
  </si>
  <si>
    <t>Pearl River Valley Railroad Co</t>
  </si>
  <si>
    <t>Picayune</t>
  </si>
  <si>
    <t>Pittsburgh, Allegheny &amp; McKees Rocks Railroad</t>
  </si>
  <si>
    <t>PAM</t>
  </si>
  <si>
    <t>McKees Rocks</t>
  </si>
  <si>
    <t>Modesto &amp; Empire Traction Co</t>
  </si>
  <si>
    <t>MET</t>
  </si>
  <si>
    <t>Modesto</t>
  </si>
  <si>
    <t>http://www.metrr.com</t>
  </si>
  <si>
    <t>Baie-Comeau Port Railway</t>
  </si>
  <si>
    <t>Baie-Comeau</t>
  </si>
  <si>
    <t>http://www.sopor.ca</t>
  </si>
  <si>
    <t>Minnesota, Dakota &amp; Western Railway</t>
  </si>
  <si>
    <t>MDW</t>
  </si>
  <si>
    <t>International Falls</t>
  </si>
  <si>
    <t>http://www.bc.com</t>
  </si>
  <si>
    <t>Portland Traction Co</t>
  </si>
  <si>
    <t>PRTD</t>
  </si>
  <si>
    <t>La Puente</t>
  </si>
  <si>
    <t>Bradford Industrial Rail Inc</t>
  </si>
  <si>
    <t>Punxsutawney</t>
  </si>
  <si>
    <t>Towanda-Monroeton Shippers' Lifeline</t>
  </si>
  <si>
    <t>Monroeton</t>
  </si>
  <si>
    <t>Iowa Transfer Railway</t>
  </si>
  <si>
    <t>Mount Vernon Terminal Railway</t>
  </si>
  <si>
    <t>Clear Lake</t>
  </si>
  <si>
    <t>East Jersey Railroad &amp; Terminal</t>
  </si>
  <si>
    <t>Bayonne</t>
  </si>
  <si>
    <t>http://www.imtt.com/bayonne.html</t>
  </si>
  <si>
    <t>Illinois Western Railroad</t>
  </si>
  <si>
    <t>Vandalia</t>
  </si>
  <si>
    <t>http://www.illwestern.com</t>
  </si>
  <si>
    <t>Effingham Railroad</t>
  </si>
  <si>
    <t>http://www.efrr.com</t>
  </si>
  <si>
    <t>Portland Streetcar</t>
  </si>
  <si>
    <t>http://www.portlandstreetcar.org</t>
  </si>
  <si>
    <t>Tyburn Railroad</t>
  </si>
  <si>
    <t>TYBR</t>
  </si>
  <si>
    <t>Morrisville</t>
  </si>
  <si>
    <t>Tishomingo Railroad</t>
  </si>
  <si>
    <t>Luka</t>
  </si>
  <si>
    <t>http://www.tishomingorail.com</t>
  </si>
  <si>
    <t>Teco Line Streetcar System</t>
  </si>
  <si>
    <t>Tampa</t>
  </si>
  <si>
    <t>http://www.tecolinestreetcar.org</t>
  </si>
  <si>
    <t>River Rail Streetcar</t>
  </si>
  <si>
    <t>North Little Rock</t>
  </si>
  <si>
    <t>http://www.cat.org</t>
  </si>
  <si>
    <t>Hondo Railway</t>
  </si>
  <si>
    <t>Old Augusta Railroad Co</t>
  </si>
  <si>
    <t>OAR</t>
  </si>
  <si>
    <t>New Augusta</t>
  </si>
  <si>
    <t>http://www.kochcellulose.com</t>
  </si>
  <si>
    <t>Burlington Junction Railway</t>
  </si>
  <si>
    <t>Richmond Pacific Railroad</t>
  </si>
  <si>
    <t>Richmond</t>
  </si>
  <si>
    <t>http://www.levinterminal.com</t>
  </si>
  <si>
    <t>Louisiana &amp; Wadley Railway</t>
  </si>
  <si>
    <t>LW</t>
  </si>
  <si>
    <t>Louisville</t>
  </si>
  <si>
    <t>Delta Valley &amp; Southern Railway</t>
  </si>
  <si>
    <t>Wilson</t>
  </si>
  <si>
    <t>St Louis Metro</t>
  </si>
  <si>
    <t>http://www.metrostlouis.org</t>
  </si>
  <si>
    <t>American Track</t>
  </si>
  <si>
    <t>AMTR</t>
  </si>
  <si>
    <t>Mullberry</t>
  </si>
  <si>
    <t>Carmeuse Americas</t>
  </si>
  <si>
    <t>CAPO</t>
  </si>
  <si>
    <t>Walt Disney World</t>
  </si>
  <si>
    <t>WDW</t>
  </si>
  <si>
    <t>Lake Buena Vista</t>
  </si>
  <si>
    <t>Niemeyer &amp; Associates</t>
  </si>
  <si>
    <t>V3C</t>
  </si>
  <si>
    <t>Ringwood</t>
  </si>
  <si>
    <t>Wilson Creek Energy LLC</t>
  </si>
  <si>
    <t>WCEL</t>
  </si>
  <si>
    <t>Coronado</t>
  </si>
  <si>
    <t>CRCO</t>
  </si>
  <si>
    <t>County Line Rail</t>
  </si>
  <si>
    <t>CYLR</t>
  </si>
  <si>
    <t>DETROIT TRANSPORTATION</t>
  </si>
  <si>
    <t>Red Deer Railway Limited</t>
  </si>
  <si>
    <t>RDRL</t>
  </si>
  <si>
    <t>BEALE - AIR FORCE BASE</t>
  </si>
  <si>
    <t>AMAX COAL CO  (IL)</t>
  </si>
  <si>
    <t>DACOTAH CEMENT  (SD)</t>
  </si>
  <si>
    <t>DAY &amp; ZIMMERMANN HAWTHORNE CORPORATION</t>
  </si>
  <si>
    <t>BULLOCK CONSTRUCTION</t>
  </si>
  <si>
    <t>JOFFREY CHEMICAL PLANT</t>
  </si>
  <si>
    <t>COLUMBIA PICTURES</t>
  </si>
  <si>
    <t>BAKERSFIELD</t>
  </si>
  <si>
    <t>GREEN BAY &amp; WESTERN RR CO</t>
  </si>
  <si>
    <t>FT. RUCKER</t>
  </si>
  <si>
    <t>HUNTER ARMY AIR FIELD</t>
  </si>
  <si>
    <t>GATEWAY WESTERN RAILWAY</t>
  </si>
  <si>
    <t>AV-TECH, INC.</t>
  </si>
  <si>
    <t>LIMA TANK PLANT</t>
  </si>
  <si>
    <t>NAVAL BASE PORT HUEMENE</t>
  </si>
  <si>
    <t>HULL CHELSEA LA PECHE</t>
  </si>
  <si>
    <t>NAPIERVILLE JCT. RWY CO.</t>
  </si>
  <si>
    <t>AMERICAN ELECTRIC</t>
  </si>
  <si>
    <t>ANCO ENGINEERING</t>
  </si>
  <si>
    <t>CANAC NO. AMERICAN SERV(MONTRE</t>
  </si>
  <si>
    <t>LINCOLN SOUTHERN RWY   (IA)</t>
  </si>
  <si>
    <t>NL INDUSTRIES, INC.  (NY)</t>
  </si>
  <si>
    <t>FORT POLK</t>
  </si>
  <si>
    <t>DUKE POWER BELEWS AND CREEK STATION</t>
  </si>
  <si>
    <t>DAIES DES CHALEURS</t>
  </si>
  <si>
    <t>DULUTH, WINNIPEG &amp; PACIFIC RWY</t>
  </si>
  <si>
    <t>IAP WORLD SERVICES</t>
  </si>
  <si>
    <t>APPALACHIAN FUEL LLC</t>
  </si>
  <si>
    <t>CEMES</t>
  </si>
  <si>
    <t>ILLINOIS CNTRL RR CO</t>
  </si>
  <si>
    <t>GREENBRIAR SMOKELESS COAL MINING LLC</t>
  </si>
  <si>
    <t>NEBRASKA PUBLIC POWER DISTRICT</t>
  </si>
  <si>
    <t>THOMAS HILL POWER</t>
  </si>
  <si>
    <t>MIDLOUISIANA RAIL CORP.</t>
  </si>
  <si>
    <t>CANADIAN AMER. RR</t>
  </si>
  <si>
    <t>CEDAR BAY</t>
  </si>
  <si>
    <t>BHP MINERALS INC.</t>
  </si>
  <si>
    <t>EDWARDS AIR FORCE BASE</t>
  </si>
  <si>
    <t>HILL AFB</t>
  </si>
  <si>
    <t>FT. STEWART</t>
  </si>
  <si>
    <t>EASTSIDE LRT CONSTRUCTORS</t>
  </si>
  <si>
    <t>INTRADE INTERNATIONAL, INC.</t>
  </si>
  <si>
    <t>HOLSTON DEFENSE CORP</t>
  </si>
  <si>
    <t>LIVONIA &amp; LAKE ERIE</t>
  </si>
  <si>
    <t>TOMS FORK COAL CO</t>
  </si>
  <si>
    <t>NO. LOUISIANA &amp; GULF RR CO</t>
  </si>
  <si>
    <t>CHICAGO,CENTRAL&amp;PACIFIC RR CO</t>
  </si>
  <si>
    <t>RIVERBANK</t>
  </si>
  <si>
    <t>ALABAMA. CONST. &amp; RR MAINT. CO</t>
  </si>
  <si>
    <t>LTV STEEL - MN (CLIFFS MINING)</t>
  </si>
  <si>
    <t>CAROLINA POWER &amp; LIGHT</t>
  </si>
  <si>
    <t>CLEVELAND RAILROAD WORKS</t>
  </si>
  <si>
    <t>N.S. EAST CAROLINA BUSINESS UNIT</t>
  </si>
  <si>
    <t>SAN MIGUEL ELECTRIC</t>
  </si>
  <si>
    <t>EG &amp; G IDAHO INC. RR</t>
  </si>
  <si>
    <t>HAWTHORN ARMY</t>
  </si>
  <si>
    <t>PORT ROYAL RR</t>
  </si>
  <si>
    <t>JOPPA &amp; EASTERN RR</t>
  </si>
  <si>
    <t>BALFOUR BEATTY RAIL INC. MINNEAPOLIS</t>
  </si>
  <si>
    <t>MID-AMERICAN ENERGY</t>
  </si>
  <si>
    <t>ROBERVAL&amp;SAGUENAY RR (SHORT LINE)</t>
  </si>
  <si>
    <t>DAKOTA RAIL</t>
  </si>
  <si>
    <t>GUILFORD TRANSP. IND  (MA)</t>
  </si>
  <si>
    <t>CONSOLIDATED COAL</t>
  </si>
  <si>
    <t>S. FREIGHT LOGISTIC</t>
  </si>
  <si>
    <t>DELAWARE &amp; HUDSON RR</t>
  </si>
  <si>
    <t>FOX RIVER VALLEY RR CORP.</t>
  </si>
  <si>
    <t>GALVESTON HOUSTON &amp; HENDERSON</t>
  </si>
  <si>
    <t>CHATTANOOGA INDUSTRIAL</t>
  </si>
  <si>
    <t>NAVAL BASE MECHANICSBURG</t>
  </si>
  <si>
    <t>I &amp; M</t>
  </si>
  <si>
    <t>NWSC CRANE</t>
  </si>
  <si>
    <t>AMES CONSTRUCTION INC</t>
  </si>
  <si>
    <t>NAVAL BASE EARLE</t>
  </si>
  <si>
    <t>RICHMOND,FRED.&amp;POTOM</t>
  </si>
  <si>
    <t>SOUTHRAIL CORPORATION</t>
  </si>
  <si>
    <t>TUSCOLA &amp; SAGINAW Bay RR</t>
  </si>
  <si>
    <t>COORS BREWING</t>
  </si>
  <si>
    <t>CHICAGO, MISSOURI &amp; WESTERN RW</t>
  </si>
  <si>
    <t>POTOMIC ELEC.POWER</t>
  </si>
  <si>
    <t>SOUTHERN RWY OF B.C. COL.</t>
  </si>
  <si>
    <t>SAN MIGUEL ARIZONA</t>
  </si>
  <si>
    <t>U.S. ARMY CORPS ENGRS.</t>
  </si>
  <si>
    <t>CAMP SHELBY</t>
  </si>
  <si>
    <t>BACON DONALDSON</t>
  </si>
  <si>
    <t>SEAN MCEVOY</t>
  </si>
  <si>
    <t>CANADA &amp; GULF TERM. RWY CO</t>
  </si>
  <si>
    <t>NAVAL BASE DAHLGREN</t>
  </si>
  <si>
    <t>SO.CAL REG. RL AUTH</t>
  </si>
  <si>
    <t>NCBC GULFPORT</t>
  </si>
  <si>
    <t>MIDWEST CONSTRUCTION RR</t>
  </si>
  <si>
    <t>K&amp;H RR</t>
  </si>
  <si>
    <t>EUROCAN PULP &amp; PAPER CO.</t>
  </si>
  <si>
    <t>ILLINOIS RAILWAY MUSEUM</t>
  </si>
  <si>
    <t>QUEBEC IRON &amp; TITANIUM</t>
  </si>
  <si>
    <t>NATIONAL STL/GREAT LAKES STL</t>
  </si>
  <si>
    <t>REMSA</t>
  </si>
  <si>
    <t>TEXAS UTIL/MARTIN LAKE</t>
  </si>
  <si>
    <t>PITTS. &amp; SHAWMUT RR</t>
  </si>
  <si>
    <t>TXU BIG BROWN RR</t>
  </si>
  <si>
    <t>US ARMY LETTER KENNY</t>
  </si>
  <si>
    <t>FORD MOTOR COMPANY</t>
  </si>
  <si>
    <t>ASHLEY DREW &amp; NO.</t>
  </si>
  <si>
    <t>CYPRUS NORTHSHORE MINING  (MN)</t>
  </si>
  <si>
    <t>IS</t>
  </si>
  <si>
    <t>BANGOR &amp; AROOSTOOK RR CO.</t>
  </si>
  <si>
    <t>BLEVINS BRANCH</t>
  </si>
  <si>
    <t>GEORGE HARMS CONSTRUCTION CO.</t>
  </si>
  <si>
    <t>KENNEDY RAIL BUILDERS</t>
  </si>
  <si>
    <t>SALT RIVER PROJ. (AZ)</t>
  </si>
  <si>
    <t>MONTANA WESTERN RAILWAY</t>
  </si>
  <si>
    <t>ATLANTIC &amp; GULF</t>
  </si>
  <si>
    <t>RAYTHEON</t>
  </si>
  <si>
    <t>GLENROCK COAL CO.    (WY)</t>
  </si>
  <si>
    <t>BESSEMER &amp; LAKE ERIE</t>
  </si>
  <si>
    <t>NEOSHO CONST. INC.</t>
  </si>
  <si>
    <t>FIRST ENERGY CORP</t>
  </si>
  <si>
    <t>B&amp;W RESOURCE, INC.</t>
  </si>
  <si>
    <t>SW PORTLAND CEMENT</t>
  </si>
  <si>
    <t>UTAH INTERNATIONAL INC. (NM)</t>
  </si>
  <si>
    <t>A *****  UNKNOWN********</t>
  </si>
  <si>
    <t>INSTITUTE FOR RAILROAD ENGINEERING</t>
  </si>
  <si>
    <t>TRANSPORTATION TEST CENTER</t>
  </si>
  <si>
    <t>CN RAILWAY</t>
  </si>
  <si>
    <t>CONTINENTAL RAIL CO  (TX)</t>
  </si>
  <si>
    <t>PITTS.&amp; LAKE ERIE RR CO</t>
  </si>
  <si>
    <t>QUEBEC SOUTHERN</t>
  </si>
  <si>
    <t>POWERPLANT - NEBRASKA</t>
  </si>
  <si>
    <t>US AIRFORCE</t>
  </si>
  <si>
    <t>CONSUMERS ENERGY</t>
  </si>
  <si>
    <t>WEST POINT RR</t>
  </si>
  <si>
    <t>EVERGREEN GROUP</t>
  </si>
  <si>
    <t>CAMBRIA &amp; INDIANA RR</t>
  </si>
  <si>
    <t>SERV-AIR   (IL)</t>
  </si>
  <si>
    <t>HOHL INDUSTRIAL SERVICES INC</t>
  </si>
  <si>
    <t>BECHTEL CORP</t>
  </si>
  <si>
    <t>OLD VIRGINIA SERVICES</t>
  </si>
  <si>
    <t>LEX ARMY DEPOT</t>
  </si>
  <si>
    <t>FT. HOOD</t>
  </si>
  <si>
    <t>EASTMAN CHEMICAL COMPANY</t>
  </si>
  <si>
    <t>CAM MINING, LLC</t>
  </si>
  <si>
    <t>EUROWAY INDUSTRIAL</t>
  </si>
  <si>
    <t>U.S. SUGAR CORP.  (FL)</t>
  </si>
  <si>
    <t>VERMONT CENTRAL</t>
  </si>
  <si>
    <t>MIDSOUTH RAIL CORP</t>
  </si>
  <si>
    <t>CAYAHOGA VALLEY R.R.</t>
  </si>
  <si>
    <t>GRAND TRUNK WESTERN RR CO.</t>
  </si>
  <si>
    <t>MAINE CENTRAL</t>
  </si>
  <si>
    <t>CRYSTAL RIVER (FLORIDA POWER)</t>
  </si>
  <si>
    <t>GAULEY RIVER RR</t>
  </si>
  <si>
    <t>CHICAGO &amp; N.W. TRANS.</t>
  </si>
  <si>
    <t>MAGMA ORE TRANS.</t>
  </si>
  <si>
    <t>ALBERTA RAILNET</t>
  </si>
  <si>
    <t>JF WHITE</t>
  </si>
  <si>
    <t>COBRA GROUP</t>
  </si>
  <si>
    <t>SUTTON &amp; LANE</t>
  </si>
  <si>
    <t>MODERN CONSTRUCTION</t>
  </si>
  <si>
    <t>MILLERSTEAM POWER PLANT</t>
  </si>
  <si>
    <t>EAST COPPER AND BERKELEY</t>
  </si>
  <si>
    <t>COMTRACK</t>
  </si>
  <si>
    <t>ESQUIMALT &amp; NANAIMO RAILWAY</t>
  </si>
  <si>
    <t>BAYER CORPORATION</t>
  </si>
  <si>
    <t>NAVAL BASE BANGOR</t>
  </si>
  <si>
    <t>HERITAGE RAILROAD CORPORATION</t>
  </si>
  <si>
    <t>EUROCAN PULP AND PAPER</t>
  </si>
  <si>
    <t>CAROLINA EASTMAN</t>
  </si>
  <si>
    <t>NORTHERN NEW JERSEY CONRAIL</t>
  </si>
  <si>
    <t>USACE</t>
  </si>
  <si>
    <t>HOUSTON BELT &amp; TERMINAL RWY CO</t>
  </si>
  <si>
    <t>Freeport-McMoRan Copper &amp; Gold Inc.</t>
  </si>
  <si>
    <t>http://www.fcx.com/index.htm</t>
  </si>
  <si>
    <t>U.S. Commercial Service</t>
  </si>
  <si>
    <t>Ultra Instrumentation</t>
  </si>
  <si>
    <t>Cupertino</t>
  </si>
  <si>
    <t>http://https://ultrainstrument.com/</t>
  </si>
  <si>
    <t>U.S. Trade &amp; Development Agency</t>
  </si>
  <si>
    <t>http://www.ustda.gov</t>
  </si>
  <si>
    <t>Mobil Grain</t>
  </si>
  <si>
    <t>Regina</t>
  </si>
  <si>
    <t>http://www.mobilgrain.com</t>
  </si>
  <si>
    <t>AREMA</t>
  </si>
  <si>
    <t>International Heavy Haul Association</t>
  </si>
  <si>
    <t>Virginia Beach</t>
  </si>
  <si>
    <t>http://https://ihha.net/</t>
  </si>
  <si>
    <t>Sherritt International Corporation</t>
  </si>
  <si>
    <t>Toronto</t>
  </si>
  <si>
    <t>http://www.sherritt.com/</t>
  </si>
  <si>
    <t>Brightline</t>
  </si>
  <si>
    <t>Volunteer Trackworks</t>
  </si>
  <si>
    <t>Agrium Inc</t>
  </si>
  <si>
    <t>Calgary</t>
  </si>
  <si>
    <t>http://www.agrium.com</t>
  </si>
  <si>
    <t>OBRAGNA</t>
  </si>
  <si>
    <t>Alpac International</t>
  </si>
  <si>
    <t>All Trading Solutions</t>
  </si>
  <si>
    <t>Miami</t>
  </si>
  <si>
    <t>http://www.alltradingsolutions.com</t>
  </si>
  <si>
    <t>Vossloh Track Material Inc.</t>
  </si>
  <si>
    <t>Reading</t>
  </si>
  <si>
    <t>Kentucky Utilities</t>
  </si>
  <si>
    <t>Harrodsburg</t>
  </si>
  <si>
    <t>A&amp;A Electrical Services</t>
  </si>
  <si>
    <t>http://www.aaelectricservices.com</t>
  </si>
  <si>
    <t>Imperial Oil</t>
  </si>
  <si>
    <t>http://www.imperialoil.ca/Canada-English/default.aspx</t>
  </si>
  <si>
    <t>CHICAGO &amp; ILL. MIDLAND RR</t>
  </si>
  <si>
    <t>Springfield</t>
  </si>
  <si>
    <t>Rio Tinto Alcan</t>
  </si>
  <si>
    <t>http://www.riotintoalcan.com</t>
  </si>
  <si>
    <t>Team West Contracting Corp</t>
  </si>
  <si>
    <t>Corona</t>
  </si>
  <si>
    <t>Lake Terminal Railroad</t>
  </si>
  <si>
    <t>Lorain</t>
  </si>
  <si>
    <t>Alcan Primary Metal Group</t>
  </si>
  <si>
    <t>Robards</t>
  </si>
  <si>
    <t>National Salvage &amp; Service Corp.</t>
  </si>
  <si>
    <t>NSSI</t>
  </si>
  <si>
    <t>Clear Creek</t>
  </si>
  <si>
    <t>Pohl Corporation</t>
  </si>
  <si>
    <t>PPL Montana Power</t>
  </si>
  <si>
    <t>Lehigh Valley</t>
  </si>
  <si>
    <t>Tech Virginia Operating Company</t>
  </si>
  <si>
    <t>Chesapeake</t>
  </si>
  <si>
    <t>COMMANDING OFFICER CODE 524</t>
  </si>
  <si>
    <t>Gulfport</t>
  </si>
  <si>
    <t>J&amp;J Rail Sales</t>
  </si>
  <si>
    <t>Canspec Group, Inc.</t>
  </si>
  <si>
    <t>NDE</t>
  </si>
  <si>
    <t>Oakville</t>
  </si>
  <si>
    <t>RAILWORKS TRACK SERVICES</t>
  </si>
  <si>
    <t>AES Greenridge</t>
  </si>
  <si>
    <t>Dresden</t>
  </si>
  <si>
    <t>McCoy Elkorm Coal Corp.</t>
  </si>
  <si>
    <t>MCEC</t>
  </si>
  <si>
    <t>Kimper</t>
  </si>
  <si>
    <t>Military Ocean Terminal</t>
  </si>
  <si>
    <t>MLOT</t>
  </si>
  <si>
    <t>Okanagan Valley Railway</t>
  </si>
  <si>
    <t>OKAN</t>
  </si>
  <si>
    <t>Lexington &amp; Ohio Railroad Co.</t>
  </si>
  <si>
    <t>Spring Hope</t>
  </si>
  <si>
    <t>Metroplex Corp</t>
  </si>
  <si>
    <t>METC</t>
  </si>
  <si>
    <t>Lewis Rail Service</t>
  </si>
  <si>
    <t>Hazelcrest</t>
  </si>
  <si>
    <t>Saskferco Products Inc.</t>
  </si>
  <si>
    <t>Belle Plaine</t>
  </si>
  <si>
    <t>University of Tennessee</t>
  </si>
  <si>
    <t>Texas Utilities Mining Company</t>
  </si>
  <si>
    <t>Tatum</t>
  </si>
  <si>
    <t>Maher Terminals Inc.</t>
  </si>
  <si>
    <t>MTI</t>
  </si>
  <si>
    <t>Elizabeth</t>
  </si>
  <si>
    <t>Stillwater Mine</t>
  </si>
  <si>
    <t>Big Timber</t>
  </si>
  <si>
    <t>Coos Bay Rail Link</t>
  </si>
  <si>
    <t>Coos Bay</t>
  </si>
  <si>
    <t>Transdev Rail</t>
  </si>
  <si>
    <t>TDR</t>
  </si>
  <si>
    <t>Lombard</t>
  </si>
  <si>
    <t>Alcoa Warrick Operations</t>
  </si>
  <si>
    <t>Newburgh</t>
  </si>
  <si>
    <t>http://www.alcoa.com/locations/usa_warrick/en/home.asp</t>
  </si>
  <si>
    <t>M.D.T.A.</t>
  </si>
  <si>
    <t>Progress Rail</t>
  </si>
  <si>
    <t>Albertville</t>
  </si>
  <si>
    <t>Vermillion Transmodal LLC</t>
  </si>
  <si>
    <t>Madisonville</t>
  </si>
  <si>
    <t>TMI Enterprises Inc</t>
  </si>
  <si>
    <t>Mapleton</t>
  </si>
  <si>
    <t>Allen Engineering Contractor, Inc</t>
  </si>
  <si>
    <t>San Bernardino</t>
  </si>
  <si>
    <t>http://www.allenec.com</t>
  </si>
  <si>
    <t>CLARENDON &amp; PITTSFORD RR CO</t>
  </si>
  <si>
    <t>Southern New Jersey Light Rail</t>
  </si>
  <si>
    <t>Jamaica</t>
  </si>
  <si>
    <t>Kiewitt / Washington</t>
  </si>
  <si>
    <t>Boisbrand</t>
  </si>
  <si>
    <t>Union Carbide Corp.</t>
  </si>
  <si>
    <t>Prairie Mines &amp; Royalties, Ltd.</t>
  </si>
  <si>
    <t>Reid Middleton</t>
  </si>
  <si>
    <t>Everett</t>
  </si>
  <si>
    <t>CENTRAL ILLINOIS PUBLIC SERV.</t>
  </si>
  <si>
    <t>CIPX</t>
  </si>
  <si>
    <t>CHEMETRON RAILWAY</t>
  </si>
  <si>
    <t>Williamson Track, LLC</t>
  </si>
  <si>
    <t>Harbour</t>
  </si>
  <si>
    <t>Left Fork Mining</t>
  </si>
  <si>
    <t>Brookside</t>
  </si>
  <si>
    <t>Kennecott (Utah Copper Div)</t>
  </si>
  <si>
    <t>Magna</t>
  </si>
  <si>
    <t>Universe Technologies, Inc.</t>
  </si>
  <si>
    <t>Frederick</t>
  </si>
  <si>
    <t>Mirant Corp. - MSC 100MA</t>
  </si>
  <si>
    <t>MCO</t>
  </si>
  <si>
    <t>Springfield Terminal Railway Co.</t>
  </si>
  <si>
    <t>No. Billerica</t>
  </si>
  <si>
    <t>CORINTH &amp; COUNCE RR  (TN)</t>
  </si>
  <si>
    <t>Counce</t>
  </si>
  <si>
    <t>Tartaglia Railroad Service</t>
  </si>
  <si>
    <t>Syracuse</t>
  </si>
  <si>
    <t>Michigan Limestone</t>
  </si>
  <si>
    <t>ML</t>
  </si>
  <si>
    <t>Gulliver</t>
  </si>
  <si>
    <t>Loadout LLC</t>
  </si>
  <si>
    <t>Kingsport</t>
  </si>
  <si>
    <t>Transport Ferroviaire Tshiuetin</t>
  </si>
  <si>
    <t>Sept. Iles.</t>
  </si>
  <si>
    <t>Ridley Terminals, Inc.</t>
  </si>
  <si>
    <t>Prince Rupert</t>
  </si>
  <si>
    <t>PSI Energy RR</t>
  </si>
  <si>
    <t>Weyerhaeuser Co.</t>
  </si>
  <si>
    <t>Federal Way</t>
  </si>
  <si>
    <t>Automotive Resources International (ARI)</t>
  </si>
  <si>
    <t>Mead Westvaco Paper Company</t>
  </si>
  <si>
    <t>MEA</t>
  </si>
  <si>
    <t>Escanaba</t>
  </si>
  <si>
    <t>Northern Indiana Commuter</t>
  </si>
  <si>
    <t>Michigan City</t>
  </si>
  <si>
    <t>CENTRAL WESTERN RAILWAY CORP</t>
  </si>
  <si>
    <t>SO. EDMONTON</t>
  </si>
  <si>
    <t>http://www.trainweb.org/rosters/CWRL.html</t>
  </si>
  <si>
    <t>Railroad Constructors, Inc.</t>
  </si>
  <si>
    <t>Paulsboro</t>
  </si>
  <si>
    <t>http://www.RailNJ.com</t>
  </si>
  <si>
    <t>Peoria &amp; Pekin Union Railway</t>
  </si>
  <si>
    <t>Menards Railroad Materials</t>
  </si>
  <si>
    <t>http://www.menardsrail.com</t>
  </si>
  <si>
    <t>CROUCH ENGINEERING  (TN)</t>
  </si>
  <si>
    <t>Trac-Work Inc.</t>
  </si>
  <si>
    <t>Ennis</t>
  </si>
  <si>
    <t>Alberta-Pacific Forest Industries Inc</t>
  </si>
  <si>
    <t>Boyle</t>
  </si>
  <si>
    <t>http://www.alpac.ca/index.cfm</t>
  </si>
  <si>
    <t>Union Electric Company</t>
  </si>
  <si>
    <t>St. Louis</t>
  </si>
  <si>
    <t>NFC</t>
  </si>
  <si>
    <t>Port of Tacoma</t>
  </si>
  <si>
    <t>Western Kentucky Railways LLC</t>
  </si>
  <si>
    <t>Clay</t>
  </si>
  <si>
    <t>NEW HAMPSHIRE NORTHCOAST</t>
  </si>
  <si>
    <t>The Western Group</t>
  </si>
  <si>
    <t>http://www.thewesterngroup.net/WG.html</t>
  </si>
  <si>
    <t>North Carolina Railroad</t>
  </si>
  <si>
    <t>NCRR</t>
  </si>
  <si>
    <t>Raleigh</t>
  </si>
  <si>
    <t>http://www.ncrr.com</t>
  </si>
  <si>
    <t>International Trade Administration</t>
  </si>
  <si>
    <t>Keewatin Railway Company</t>
  </si>
  <si>
    <t>Nexen Energy ULC</t>
  </si>
  <si>
    <t>http://www.nexeninc.com</t>
  </si>
  <si>
    <t>BC Railway Company</t>
  </si>
  <si>
    <t>North Vancouver</t>
  </si>
  <si>
    <t>http://www.bcrco.com</t>
  </si>
  <si>
    <t>Savage CANAC Corp.</t>
  </si>
  <si>
    <t>http://www.savaqgeservices.com</t>
  </si>
  <si>
    <t>TransAlta Utilities Corp.</t>
  </si>
  <si>
    <t>Xstrata Copper, Canada</t>
  </si>
  <si>
    <t>http://www.xstratacopper.com/EN/Pages/default.aspx</t>
  </si>
  <si>
    <t>Wabush Mines</t>
  </si>
  <si>
    <t>Sept. Iles</t>
  </si>
  <si>
    <t>Central Maine &amp; Quebec Railway</t>
  </si>
  <si>
    <t>CMQR</t>
  </si>
  <si>
    <t>http://www.cmqrailway.com/index</t>
  </si>
  <si>
    <t>Toronto Terminals Railway</t>
  </si>
  <si>
    <t>http://www.ttrly.com</t>
  </si>
  <si>
    <t>BAYMAG Inc.</t>
  </si>
  <si>
    <t>http://www.baymag.com/index.php</t>
  </si>
  <si>
    <t>Orangeville Brampton Railway</t>
  </si>
  <si>
    <t>OBRA</t>
  </si>
  <si>
    <t>http://www.obryrr.com</t>
  </si>
  <si>
    <t>Societie du Chemin de fer la Gaspesie</t>
  </si>
  <si>
    <t>New Richmond</t>
  </si>
  <si>
    <t>Trans-Canada Audit Corp</t>
  </si>
  <si>
    <t>http://TCAUDIT.CA</t>
  </si>
  <si>
    <t>National Research Council of Canada</t>
  </si>
  <si>
    <t>http://www.nrc-cnrc.gc.ca/eng/index.html</t>
  </si>
  <si>
    <t>Tshieutin Rail Transportation Inc.</t>
  </si>
  <si>
    <t>Sept. iles</t>
  </si>
  <si>
    <t>http://www.tshiuetin.net/</t>
  </si>
  <si>
    <t>Amprior-Nepan Railway</t>
  </si>
  <si>
    <t>Boundary Trail Railway</t>
  </si>
  <si>
    <t>BTR</t>
  </si>
  <si>
    <t>Manitou</t>
  </si>
  <si>
    <t>http://btrc.ca/index.htm</t>
  </si>
  <si>
    <t>Chemin de fer Arnaud</t>
  </si>
  <si>
    <t>http://www.cliffsnaturalresources.com/</t>
  </si>
  <si>
    <t>Cie de Chemin de fer Cartier</t>
  </si>
  <si>
    <t>Port Catrier</t>
  </si>
  <si>
    <t>http://www.arcelormittal.com/minescanada</t>
  </si>
  <si>
    <t>Arcelor Mittal</t>
  </si>
  <si>
    <t>BC Rail</t>
  </si>
  <si>
    <t>Prince George</t>
  </si>
  <si>
    <t>East Cooper and Berkeley Railroad</t>
  </si>
  <si>
    <t>ECBR</t>
  </si>
  <si>
    <t>Cranemasters Inc</t>
  </si>
  <si>
    <t>http://www.cranemasters.com</t>
  </si>
  <si>
    <t>Wisconsin Central</t>
  </si>
  <si>
    <t>Stevens Point</t>
  </si>
  <si>
    <t>Maine Eastern Railroad</t>
  </si>
  <si>
    <t>MERR</t>
  </si>
  <si>
    <t>Bath</t>
  </si>
  <si>
    <t>Niagara Frontier Trans Authority</t>
  </si>
  <si>
    <t>NF</t>
  </si>
  <si>
    <t>Buffalo</t>
  </si>
  <si>
    <t>Washington Idaho Railway Inc</t>
  </si>
  <si>
    <t>WIR</t>
  </si>
  <si>
    <t>Marshall</t>
  </si>
  <si>
    <t>http://www.wirailway.com</t>
  </si>
  <si>
    <t>Manhard Consulting LTD</t>
  </si>
  <si>
    <t>Carson City</t>
  </si>
  <si>
    <t>NV</t>
  </si>
  <si>
    <t>Ribbonweld, LLC</t>
  </si>
  <si>
    <t>Manteno</t>
  </si>
  <si>
    <t>Virginia &amp; Truckee Railroad</t>
  </si>
  <si>
    <t>Virginia City</t>
  </si>
  <si>
    <t>Bi-State Development Agency Railroad</t>
  </si>
  <si>
    <t>BSDA</t>
  </si>
  <si>
    <t>http://www.metrostlouis.org/#</t>
  </si>
  <si>
    <t>Capitol Metro</t>
  </si>
  <si>
    <t>B&amp;H Rail Corporation</t>
  </si>
  <si>
    <t>BH</t>
  </si>
  <si>
    <t>Cohocton</t>
  </si>
  <si>
    <t>http://www.lalrr.com/bh.html</t>
  </si>
  <si>
    <t>Facchina Construction Company</t>
  </si>
  <si>
    <t>La Plata</t>
  </si>
  <si>
    <t>Great Lakes Rail Services</t>
  </si>
  <si>
    <t>MILLBURY</t>
  </si>
  <si>
    <t>Milford-Bennington Railroad</t>
  </si>
  <si>
    <t>MBRX</t>
  </si>
  <si>
    <t>Milford</t>
  </si>
  <si>
    <t>Texas &amp; Northern Railway</t>
  </si>
  <si>
    <t>Lone Star</t>
  </si>
  <si>
    <t>Commuter Rail Constructors</t>
  </si>
  <si>
    <t>Arch Coal Inc</t>
  </si>
  <si>
    <t>St.Louis</t>
  </si>
  <si>
    <t>Dakota Northern Railroad</t>
  </si>
  <si>
    <t>Grafton</t>
  </si>
  <si>
    <t>New Hampshire North Coast Railroad</t>
  </si>
  <si>
    <t>NHNC</t>
  </si>
  <si>
    <t>Ossipee</t>
  </si>
  <si>
    <t>http://www.bostonsand.com/nhnorthcoast</t>
  </si>
  <si>
    <t>Greenville &amp; Western Railway Company, LLC</t>
  </si>
  <si>
    <t>Taylor</t>
  </si>
  <si>
    <t>Progressive Rail Inc</t>
  </si>
  <si>
    <t>Distinct Engineering Solutions</t>
  </si>
  <si>
    <t>North Brunswick</t>
  </si>
  <si>
    <t>Tram Construction Inc</t>
  </si>
  <si>
    <t>Mississippi Lime</t>
  </si>
  <si>
    <t>St. Genevieve</t>
  </si>
  <si>
    <t>http://mississippilime.com</t>
  </si>
  <si>
    <t>Busch Gardens</t>
  </si>
  <si>
    <t>Badger Mining Corporation</t>
  </si>
  <si>
    <t>Pikes Peak Cog Railway</t>
  </si>
  <si>
    <t>PPCR</t>
  </si>
  <si>
    <t>Manitou Springs</t>
  </si>
  <si>
    <t>Agrium</t>
  </si>
  <si>
    <t>AGHX</t>
  </si>
  <si>
    <t>Rosebud Mining Company</t>
  </si>
  <si>
    <t>Windber</t>
  </si>
  <si>
    <t>http://www.rosebudmining.com</t>
  </si>
  <si>
    <t>Texas Pacifico Transportation, Ltd.</t>
  </si>
  <si>
    <t>San Angelo</t>
  </si>
  <si>
    <t>Manzi Metals, Inc</t>
  </si>
  <si>
    <t>MMIC</t>
  </si>
  <si>
    <t>Brooksville</t>
  </si>
  <si>
    <t>Midwest Energy Resources</t>
  </si>
  <si>
    <t>MWER</t>
  </si>
  <si>
    <t>Superior</t>
  </si>
  <si>
    <t>Abbeville-Grimes Railroad</t>
  </si>
  <si>
    <t>Catenary Coal</t>
  </si>
  <si>
    <t>Red River Valley &amp; Western Railroad</t>
  </si>
  <si>
    <t>South Wahpeton</t>
  </si>
  <si>
    <t>http://www.rrvw.net</t>
  </si>
  <si>
    <t>Raven Crest Mining</t>
  </si>
  <si>
    <t>Ashford</t>
  </si>
  <si>
    <t>Global Rail Group LLC</t>
  </si>
  <si>
    <t>Billings</t>
  </si>
  <si>
    <t>CSX Intermodal</t>
  </si>
  <si>
    <t>CSXI</t>
  </si>
  <si>
    <t>http://www.csxi.com</t>
  </si>
  <si>
    <t>RK&amp;K Company</t>
  </si>
  <si>
    <t>A&amp;M Railroad</t>
  </si>
  <si>
    <t>Anacostia Rail Holdings</t>
  </si>
  <si>
    <t>http://www.anacostia.com</t>
  </si>
  <si>
    <t>Grafton &amp; Upton Railroad Co</t>
  </si>
  <si>
    <t>Iowa Pacific Holdings</t>
  </si>
  <si>
    <t>http://www.iowapacific.net</t>
  </si>
  <si>
    <t>Black Lands Railroad</t>
  </si>
  <si>
    <t>http://www.blacklandsrailroad.com</t>
  </si>
  <si>
    <t>http://pltransportation.biz/</t>
  </si>
  <si>
    <t>Pinsly Railroad Company</t>
  </si>
  <si>
    <t>http://www.pinsly.com</t>
  </si>
  <si>
    <t>Central Washington Railroad</t>
  </si>
  <si>
    <t>CWA</t>
  </si>
  <si>
    <t>Wapato</t>
  </si>
  <si>
    <t>Clinton Terminal Railroad</t>
  </si>
  <si>
    <t>CTR</t>
  </si>
  <si>
    <t>Airlake Terminal Railway</t>
  </si>
  <si>
    <t>ALT</t>
  </si>
  <si>
    <t>http://www.progressiverail.com</t>
  </si>
  <si>
    <t>Boone and Scenic Valley Railroad</t>
  </si>
  <si>
    <t>BSVY</t>
  </si>
  <si>
    <t>Boone</t>
  </si>
  <si>
    <t>Chesapeake and Indiana Railroad (CKIN)</t>
  </si>
  <si>
    <t>Chicago Port Railroad (CPC)</t>
  </si>
  <si>
    <t>CPC</t>
  </si>
  <si>
    <t>http://www.chicagoportrailroad.com/</t>
  </si>
  <si>
    <t>Trinity Railway Express</t>
  </si>
  <si>
    <t>Irving</t>
  </si>
  <si>
    <t>Brandywine Valley Railroad</t>
  </si>
  <si>
    <t>BVRY</t>
  </si>
  <si>
    <t>Coatesville</t>
  </si>
  <si>
    <t>http://www.bethintermodal.com/</t>
  </si>
  <si>
    <t>Union County Industrial Railroad</t>
  </si>
  <si>
    <t>UCIR</t>
  </si>
  <si>
    <t>Almanor Railroad</t>
  </si>
  <si>
    <t>http://www.collinswood.com/</t>
  </si>
  <si>
    <t>Cannon Valley Railroad (CVRC)</t>
  </si>
  <si>
    <t>CVRC</t>
  </si>
  <si>
    <t>Cape May Seashore Lines (CMSL)</t>
  </si>
  <si>
    <t>Cape May</t>
  </si>
  <si>
    <t>http://www.capemayseashorelines.org/</t>
  </si>
  <si>
    <t>Central Illinois Railroad</t>
  </si>
  <si>
    <t>CIRY</t>
  </si>
  <si>
    <t>Portage</t>
  </si>
  <si>
    <t>http://www.railsg.com/</t>
  </si>
  <si>
    <t>Rail Runner Express</t>
  </si>
  <si>
    <t>Albuquerque</t>
  </si>
  <si>
    <t>http://www.nmrailrunner.com</t>
  </si>
  <si>
    <t>Black River and Western Corporation</t>
  </si>
  <si>
    <t>BRW</t>
  </si>
  <si>
    <t>Chicago–Chemung Railroad</t>
  </si>
  <si>
    <t>Crystal Lake</t>
  </si>
  <si>
    <t>http://demeterlp.com/</t>
  </si>
  <si>
    <t>Denver Rock Island Railroad</t>
  </si>
  <si>
    <t>DRIR</t>
  </si>
  <si>
    <t>Commerce City</t>
  </si>
  <si>
    <t>http://www.denverrockisland.com/</t>
  </si>
  <si>
    <t>Tarantula Corp</t>
  </si>
  <si>
    <t>http://www.fwwr.net</t>
  </si>
  <si>
    <t>Alabama And Florida Railway</t>
  </si>
  <si>
    <t>AF</t>
  </si>
  <si>
    <t>http://www.pioneer-railcorp.com/</t>
  </si>
  <si>
    <t>Charlotte Southern Railroad</t>
  </si>
  <si>
    <t>CHS</t>
  </si>
  <si>
    <t>Madisin Heights</t>
  </si>
  <si>
    <t>http://www.abrailroad.com</t>
  </si>
  <si>
    <t>Cloquet Terminal Railroad</t>
  </si>
  <si>
    <t>CTRR</t>
  </si>
  <si>
    <t>Cloquet</t>
  </si>
  <si>
    <t>Caldwell County Railroad</t>
  </si>
  <si>
    <t>CWCY</t>
  </si>
  <si>
    <t>Morganton</t>
  </si>
  <si>
    <t>Durbin and Greenbrier Valley Railroad</t>
  </si>
  <si>
    <t>DGVR</t>
  </si>
  <si>
    <t>Elkins</t>
  </si>
  <si>
    <t>http://mountainrailwv.com/index.html</t>
  </si>
  <si>
    <t>Flats Industrial Railroad</t>
  </si>
  <si>
    <t>FIR</t>
  </si>
  <si>
    <t>The Cincinnati Railway Co.</t>
  </si>
  <si>
    <t>http://www.cincinnatirailway.com/</t>
  </si>
  <si>
    <t>Detroit Connecting Railroad</t>
  </si>
  <si>
    <t>DCON</t>
  </si>
  <si>
    <t>Westland</t>
  </si>
  <si>
    <t>Sprinter Light Rail</t>
  </si>
  <si>
    <t>Central California Traction Company (CCT)</t>
  </si>
  <si>
    <t>CCT</t>
  </si>
  <si>
    <t>http://www.cctrailroad.com/</t>
  </si>
  <si>
    <t>East Chattanooga Belt Railway</t>
  </si>
  <si>
    <t>ECTB</t>
  </si>
  <si>
    <t>Chattanooga</t>
  </si>
  <si>
    <t>East Penn Railroad</t>
  </si>
  <si>
    <t>ESPN</t>
  </si>
  <si>
    <t>Kennett Square</t>
  </si>
  <si>
    <t>http://www.eastpennrr.com/</t>
  </si>
  <si>
    <t>East Troy Electric Railroad</t>
  </si>
  <si>
    <t>METW</t>
  </si>
  <si>
    <t>East Troy</t>
  </si>
  <si>
    <t>http://www.easttroyrr.org/</t>
  </si>
  <si>
    <t>Ballard Terminal Railroad</t>
  </si>
  <si>
    <t>BDTL</t>
  </si>
  <si>
    <t>Seattle</t>
  </si>
  <si>
    <t>http://www.allenrailroad.com/shortlinetrader/Ballard_Terminal_Railroad_Co.htm</t>
  </si>
  <si>
    <t>BG&amp;CM Railroad</t>
  </si>
  <si>
    <t>BGCM</t>
  </si>
  <si>
    <t>Central New York Railroad</t>
  </si>
  <si>
    <t>CNYK</t>
  </si>
  <si>
    <t>RailUSA</t>
  </si>
  <si>
    <t>http://https://www.railusa.net/contact-us/</t>
  </si>
  <si>
    <t>O'Fallon</t>
  </si>
  <si>
    <t>http://www.ironhorseresources.com</t>
  </si>
  <si>
    <t>Penn Eastern Rail Lines Inc</t>
  </si>
  <si>
    <t>The Everett Railroad Company</t>
  </si>
  <si>
    <t>Duncansville</t>
  </si>
  <si>
    <t>Rosen USA</t>
  </si>
  <si>
    <t>http://www.rosen-group.com/global/company/explore/we-are/locations/north-america/rosen-houston.html</t>
  </si>
  <si>
    <t>Plains All American</t>
  </si>
  <si>
    <t>Winimac Southern Railway</t>
  </si>
  <si>
    <t>Kokomo</t>
  </si>
  <si>
    <t>Deserado</t>
  </si>
  <si>
    <t>Beech Mountain Railroad</t>
  </si>
  <si>
    <t>BEEM</t>
  </si>
  <si>
    <t>French Creek</t>
  </si>
  <si>
    <t>Bighorn Divide and Wyoming Railroad</t>
  </si>
  <si>
    <t>BDW</t>
  </si>
  <si>
    <t>Shoshoni</t>
  </si>
  <si>
    <t>http://www.bdwrail.com/default.aspx</t>
  </si>
  <si>
    <t>Coffeen and Western Railroad</t>
  </si>
  <si>
    <t>CAEG</t>
  </si>
  <si>
    <t>Saint Louis</t>
  </si>
  <si>
    <t>Wichita Terminal Association</t>
  </si>
  <si>
    <t>Wichita</t>
  </si>
  <si>
    <t>http://www.wtarr.com</t>
  </si>
  <si>
    <t>Fore River Railroad</t>
  </si>
  <si>
    <t>FRVT</t>
  </si>
  <si>
    <t>Boston</t>
  </si>
  <si>
    <t>http://www.mwra.state.ma.us/index.html</t>
  </si>
  <si>
    <t>CHevron Phillips Chemical Co.</t>
  </si>
  <si>
    <t>Black Mountain Resources LLC</t>
  </si>
  <si>
    <t>Cumberland</t>
  </si>
  <si>
    <t>Keolis Commuter Services, LLC</t>
  </si>
  <si>
    <t>KCSL</t>
  </si>
  <si>
    <t>Acuren Group US Inc.</t>
  </si>
  <si>
    <t>Southern California Regional Rail Authority</t>
  </si>
  <si>
    <t>http://www.scrra.net</t>
  </si>
  <si>
    <t>New Orleans Public Belt Railroad</t>
  </si>
  <si>
    <t>New Orleans</t>
  </si>
  <si>
    <t>http://www.nopb.com</t>
  </si>
  <si>
    <t>Palmetto Railways</t>
  </si>
  <si>
    <t>Kiski Junction Railroad</t>
  </si>
  <si>
    <t>Kittanning</t>
  </si>
  <si>
    <t>Great Smoky Mountains Railroad</t>
  </si>
  <si>
    <t>GSMR</t>
  </si>
  <si>
    <t>Bryson City</t>
  </si>
  <si>
    <t>Nashville &amp; Eastern Railroad</t>
  </si>
  <si>
    <t>http://www.nerr.com</t>
  </si>
  <si>
    <t>Skanska</t>
  </si>
  <si>
    <t>Queens</t>
  </si>
  <si>
    <t>http://usa.skanska.com</t>
  </si>
  <si>
    <t>Houston Metro</t>
  </si>
  <si>
    <t>PTR</t>
  </si>
  <si>
    <t>Utah Iron LLC</t>
  </si>
  <si>
    <t>UTIL</t>
  </si>
  <si>
    <t>CEdar City</t>
  </si>
  <si>
    <t>Dominion Terminal Associates, LLP</t>
  </si>
  <si>
    <t>DTAL</t>
  </si>
  <si>
    <t>Newport News</t>
  </si>
  <si>
    <t>Adirondack Scenic Railroad</t>
  </si>
  <si>
    <t>ADCX</t>
  </si>
  <si>
    <t>Thendara</t>
  </si>
  <si>
    <t>http://adirondackrr.com</t>
  </si>
  <si>
    <t>Port of Little Rock</t>
  </si>
  <si>
    <t>POLR</t>
  </si>
  <si>
    <t>East Brookfield and Spencer Railroad</t>
  </si>
  <si>
    <t>EBSR</t>
  </si>
  <si>
    <t>East Brookfield</t>
  </si>
  <si>
    <t>http://ebsrr.com/</t>
  </si>
  <si>
    <t>WSP</t>
  </si>
  <si>
    <t>WATCO</t>
  </si>
  <si>
    <t>Lafarge North America Inc.</t>
  </si>
  <si>
    <t>FRANKLIN INDUSTRIAL MINERALS</t>
  </si>
  <si>
    <t>Stowe Engineering</t>
  </si>
  <si>
    <t>Stephens City</t>
  </si>
  <si>
    <t>WJ Riegel Rail Solutions LLC</t>
  </si>
  <si>
    <t>Glenmont</t>
  </si>
  <si>
    <t>Georges Creek Railway</t>
  </si>
  <si>
    <t>GCKR</t>
  </si>
  <si>
    <t>Weternport</t>
  </si>
  <si>
    <t>V&amp;T Railway</t>
  </si>
  <si>
    <t>VTRW</t>
  </si>
  <si>
    <t>Strasburg Rail Road</t>
  </si>
  <si>
    <t>SRR</t>
  </si>
  <si>
    <t>Ronks</t>
  </si>
  <si>
    <t>Minnesota Northern Railroad</t>
  </si>
  <si>
    <t>Crookston</t>
  </si>
  <si>
    <t>Caterparrott Railnet</t>
  </si>
  <si>
    <t>CPT</t>
  </si>
  <si>
    <t>Rescar</t>
  </si>
  <si>
    <t>Resr</t>
  </si>
  <si>
    <t>Downsers Grove</t>
  </si>
  <si>
    <t>Thornton Tomasetti</t>
  </si>
  <si>
    <t>West Hartford,</t>
  </si>
  <si>
    <t>Test Company 1</t>
  </si>
  <si>
    <t>Anytown</t>
  </si>
  <si>
    <t>Quebec Cartier Mining Company</t>
  </si>
  <si>
    <t>Port - Cartier</t>
  </si>
  <si>
    <t>Balfour Beatty Rail Inc</t>
  </si>
  <si>
    <t>Balfour Beatty</t>
  </si>
  <si>
    <t>Depew, Lancaster and Western Railroad</t>
  </si>
  <si>
    <t>DLWR</t>
  </si>
  <si>
    <t>Falls Road Railroad</t>
  </si>
  <si>
    <t>Mohawk, Adirondak &amp; Northern Railroad</t>
  </si>
  <si>
    <t>MANR</t>
  </si>
  <si>
    <t>Nash County Railroad</t>
  </si>
  <si>
    <t>Laurinburg &amp; Southern</t>
  </si>
  <si>
    <t>Massachusetts Coastal Railroad</t>
  </si>
  <si>
    <t>East Wareham</t>
  </si>
  <si>
    <t>http://www.masscoastal.com</t>
  </si>
  <si>
    <t>Saratoga &amp; North Creek Railway</t>
  </si>
  <si>
    <t>SNCR</t>
  </si>
  <si>
    <t>North Creek</t>
  </si>
  <si>
    <t>Permian Basin Railways</t>
  </si>
  <si>
    <t>Chicago Terminal Railroad</t>
  </si>
  <si>
    <t>CTM</t>
  </si>
  <si>
    <t>Texas State Railroad</t>
  </si>
  <si>
    <t>Rusk</t>
  </si>
  <si>
    <t>Eastern Maine Railway</t>
  </si>
  <si>
    <t>Maine Northern Railway Company</t>
  </si>
  <si>
    <t>Texas-New Mexico Railroad</t>
  </si>
  <si>
    <t>TNMR</t>
  </si>
  <si>
    <t>Brownfield</t>
  </si>
  <si>
    <t>http://www.iowapacific.net/texas_newmexico_railroad/</t>
  </si>
  <si>
    <t>West Texas &amp; Lubbock Railway</t>
  </si>
  <si>
    <t>WTLC</t>
  </si>
  <si>
    <t>http://www.iowapacific.net/west_texas_lubbock_railway/</t>
  </si>
  <si>
    <t>Florida Northern Railroad</t>
  </si>
  <si>
    <t>FNOR</t>
  </si>
  <si>
    <t>Florida Central Railroad</t>
  </si>
  <si>
    <t>Chemin de fer de la Matapedia et du Golfe</t>
  </si>
  <si>
    <t>CFMG</t>
  </si>
  <si>
    <t>Monti Joli</t>
  </si>
  <si>
    <t>New Brunswick East Coast Railway</t>
  </si>
  <si>
    <t>NBEC</t>
  </si>
  <si>
    <t>Beresford</t>
  </si>
  <si>
    <t>Chemin de fer Baie des Chaleurs</t>
  </si>
  <si>
    <t>CBC</t>
  </si>
  <si>
    <t>New-Richmond</t>
  </si>
  <si>
    <t>U.S. Commercial Service - Connecticut Field Office</t>
  </si>
  <si>
    <t>Middletown</t>
  </si>
  <si>
    <t>http://www.buyusa.gov/connecticut</t>
  </si>
  <si>
    <t>Arnaud Wabush Lake Railways</t>
  </si>
  <si>
    <t>Sept-lles</t>
  </si>
  <si>
    <t>http://www.cleveland-cliffs.com</t>
  </si>
  <si>
    <t>Kidd Creek Falconbridge LTD</t>
  </si>
  <si>
    <t>Northbay</t>
  </si>
  <si>
    <t>http://www.xstratacopper.com/EN/Operations/Pages/KiddMine.aspx</t>
  </si>
  <si>
    <t>NORTH AMERICA CLASS I</t>
  </si>
  <si>
    <t>China</t>
  </si>
  <si>
    <t>Rio Tinto (Australia)</t>
  </si>
  <si>
    <t>BHP (Australia)</t>
  </si>
  <si>
    <t>Fortescue Metals Group (Australia)</t>
  </si>
  <si>
    <t>Roy Hill (Australia)</t>
  </si>
  <si>
    <t>Rumo Logística (Brazil)</t>
  </si>
  <si>
    <t>MRS Logística (Brazil)</t>
  </si>
  <si>
    <t>Vale (Brazil)</t>
  </si>
  <si>
    <t>CHINA &amp; INT'L HEAVY HAUL</t>
  </si>
  <si>
    <t>Market and business execution highlights</t>
  </si>
  <si>
    <t>The primary target is the North American shortline industry</t>
  </si>
  <si>
    <t xml:space="preserve"> - There is no current competition</t>
  </si>
  <si>
    <t xml:space="preserve"> - Term sheets have been signed with Shortline Aggregators GWRR and OmniTrax to deploy the Application</t>
  </si>
  <si>
    <t>RailVision has the technology and technical support.  The strategic partner will its brand reputation, sales and customer support</t>
  </si>
  <si>
    <t>The business is ready to scale with the right Strategic Partner</t>
  </si>
  <si>
    <t>The above revenue target it linked to Fuel Savings</t>
  </si>
  <si>
    <t>Two other key value propositons:  1) Railroad engineer work standardization &amp; 2) Locomotive train handling standardization</t>
  </si>
  <si>
    <t xml:space="preserve"> - Railroad savings in employee and equipment (maintenance) costs could be significant</t>
  </si>
  <si>
    <t>Winning share from the incumbant in the CLASS I Market (Trip Optimizer) will be difficult but doable</t>
  </si>
  <si>
    <t>The addressable market:</t>
  </si>
  <si>
    <t xml:space="preserve"> - Are railroads CEO Jamie O'Rourke has 20 years of experience selling to and serving, including the global targets</t>
  </si>
  <si>
    <t xml:space="preserve"> - Include Shortline railroads that Dev Jain has confirmed the opportunity to save fuel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</si>
</sst>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4" applyFont="1" applyAlignment="1">
      <alignment horizontal="center"/>
    </xf>
    <xf numFmtId="0" fontId="2" fillId="0" borderId="0" xfId="4"/>
    <xf numFmtId="0" fontId="2" fillId="0" borderId="0" xfId="4" applyAlignment="1">
      <alignment horizontal="center"/>
    </xf>
    <xf numFmtId="164" fontId="0" fillId="0" borderId="0" xfId="5" applyNumberFormat="1" applyFont="1" applyFill="1" applyBorder="1"/>
    <xf numFmtId="0" fontId="4" fillId="0" borderId="0" xfId="4" applyFont="1"/>
    <xf numFmtId="0" fontId="2" fillId="0" borderId="0" xfId="4" applyAlignment="1">
      <alignment horizontal="center" wrapText="1"/>
    </xf>
    <xf numFmtId="44" fontId="2" fillId="0" borderId="0" xfId="2" applyFont="1"/>
    <xf numFmtId="9" fontId="2" fillId="0" borderId="0" xfId="3" applyFont="1"/>
    <xf numFmtId="164" fontId="2" fillId="0" borderId="0" xfId="2" applyNumberFormat="1" applyFont="1"/>
    <xf numFmtId="165" fontId="2" fillId="0" borderId="0" xfId="1" applyNumberFormat="1" applyFont="1"/>
    <xf numFmtId="43" fontId="2" fillId="0" borderId="0" xfId="4" applyNumberFormat="1"/>
    <xf numFmtId="164" fontId="0" fillId="0" borderId="0" xfId="5" applyNumberFormat="1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 vertical="center" wrapText="1"/>
    </xf>
    <xf numFmtId="0" fontId="3" fillId="2" borderId="1" xfId="4" applyFont="1" applyFill="1" applyBorder="1" applyAlignment="1">
      <alignment horizontal="center" vertical="center"/>
    </xf>
    <xf numFmtId="0" fontId="3" fillId="2" borderId="1" xfId="4" applyFont="1" applyFill="1" applyBorder="1" applyAlignment="1">
      <alignment horizontal="center" vertical="center" textRotation="90" wrapText="1"/>
    </xf>
    <xf numFmtId="0" fontId="3" fillId="2" borderId="1" xfId="4" applyFont="1" applyFill="1" applyBorder="1" applyAlignment="1">
      <alignment horizontal="center" vertical="center" textRotation="90"/>
    </xf>
    <xf numFmtId="3" fontId="3" fillId="2" borderId="1" xfId="4" applyNumberFormat="1" applyFont="1" applyFill="1" applyBorder="1" applyAlignment="1">
      <alignment horizontal="center" vertical="center" textRotation="90" wrapText="1"/>
    </xf>
    <xf numFmtId="164" fontId="3" fillId="2" borderId="1" xfId="5" applyNumberFormat="1" applyFont="1" applyFill="1" applyBorder="1" applyAlignment="1">
      <alignment horizontal="center" vertical="center" textRotation="90" wrapText="1"/>
    </xf>
    <xf numFmtId="3" fontId="3" fillId="3" borderId="1" xfId="4" applyNumberFormat="1" applyFont="1" applyFill="1" applyBorder="1" applyAlignment="1">
      <alignment horizontal="center" vertical="center"/>
    </xf>
    <xf numFmtId="0" fontId="3" fillId="3" borderId="1" xfId="4" applyFont="1" applyFill="1" applyBorder="1" applyAlignment="1">
      <alignment horizontal="center" vertical="center"/>
    </xf>
    <xf numFmtId="0" fontId="3" fillId="3" borderId="1" xfId="4" applyFont="1" applyFill="1" applyBorder="1" applyAlignment="1">
      <alignment horizontal="center" vertical="center" textRotation="90"/>
    </xf>
    <xf numFmtId="164" fontId="3" fillId="3" borderId="1" xfId="5" applyNumberFormat="1" applyFont="1" applyFill="1" applyBorder="1"/>
    <xf numFmtId="44" fontId="2" fillId="0" borderId="0" xfId="4" applyNumberFormat="1"/>
    <xf numFmtId="49" fontId="3" fillId="4" borderId="2" xfId="4" applyNumberFormat="1" applyFont="1" applyFill="1" applyBorder="1" applyAlignment="1">
      <alignment horizontal="center"/>
    </xf>
    <xf numFmtId="49" fontId="3" fillId="4" borderId="3" xfId="4" applyNumberFormat="1" applyFont="1" applyFill="1" applyBorder="1"/>
    <xf numFmtId="3" fontId="3" fillId="4" borderId="1" xfId="4" applyNumberFormat="1" applyFont="1" applyFill="1" applyBorder="1" applyAlignment="1">
      <alignment horizontal="center" vertical="center"/>
    </xf>
    <xf numFmtId="49" fontId="3" fillId="4" borderId="3" xfId="4" applyNumberFormat="1" applyFont="1" applyFill="1" applyBorder="1" applyAlignment="1">
      <alignment horizontal="center"/>
    </xf>
    <xf numFmtId="3" fontId="3" fillId="4" borderId="1" xfId="4" applyNumberFormat="1" applyFont="1" applyFill="1" applyBorder="1" applyAlignment="1">
      <alignment horizontal="center"/>
    </xf>
    <xf numFmtId="3" fontId="3" fillId="4" borderId="4" xfId="4" applyNumberFormat="1" applyFont="1" applyFill="1" applyBorder="1" applyAlignment="1">
      <alignment horizontal="center"/>
    </xf>
    <xf numFmtId="44" fontId="3" fillId="4" borderId="1" xfId="5" applyFont="1" applyFill="1" applyBorder="1"/>
    <xf numFmtId="164" fontId="3" fillId="4" borderId="1" xfId="5" applyNumberFormat="1" applyFont="1" applyFill="1" applyBorder="1"/>
    <xf numFmtId="49" fontId="2" fillId="0" borderId="5" xfId="4" applyNumberFormat="1" applyBorder="1"/>
    <xf numFmtId="49" fontId="2" fillId="0" borderId="6" xfId="4" applyNumberFormat="1" applyBorder="1"/>
    <xf numFmtId="49" fontId="2" fillId="0" borderId="6" xfId="4" applyNumberFormat="1" applyBorder="1" applyAlignment="1">
      <alignment horizontal="center"/>
    </xf>
    <xf numFmtId="3" fontId="2" fillId="0" borderId="6" xfId="4" applyNumberFormat="1" applyBorder="1"/>
    <xf numFmtId="165" fontId="2" fillId="0" borderId="0" xfId="4" applyNumberFormat="1"/>
    <xf numFmtId="1" fontId="2" fillId="0" borderId="0" xfId="4" applyNumberFormat="1" applyAlignment="1">
      <alignment horizontal="center"/>
    </xf>
    <xf numFmtId="49" fontId="2" fillId="0" borderId="7" xfId="4" applyNumberFormat="1" applyBorder="1"/>
    <xf numFmtId="49" fontId="2" fillId="0" borderId="0" xfId="4" applyNumberFormat="1"/>
    <xf numFmtId="49" fontId="2" fillId="0" borderId="0" xfId="4" applyNumberFormat="1" applyAlignment="1">
      <alignment horizontal="center"/>
    </xf>
    <xf numFmtId="3" fontId="2" fillId="0" borderId="0" xfId="4" applyNumberFormat="1"/>
    <xf numFmtId="49" fontId="2" fillId="0" borderId="8" xfId="4" applyNumberFormat="1" applyBorder="1"/>
    <xf numFmtId="49" fontId="2" fillId="0" borderId="9" xfId="4" applyNumberFormat="1" applyBorder="1"/>
    <xf numFmtId="49" fontId="2" fillId="0" borderId="9" xfId="4" applyNumberFormat="1" applyBorder="1" applyAlignment="1">
      <alignment horizontal="center"/>
    </xf>
    <xf numFmtId="3" fontId="2" fillId="0" borderId="9" xfId="4" applyNumberFormat="1" applyBorder="1"/>
    <xf numFmtId="3" fontId="2" fillId="0" borderId="0" xfId="4" applyNumberFormat="1" applyAlignment="1">
      <alignment horizontal="center"/>
    </xf>
    <xf numFmtId="3" fontId="2" fillId="4" borderId="0" xfId="4" applyNumberFormat="1" applyFill="1"/>
    <xf numFmtId="1" fontId="2" fillId="0" borderId="0" xfId="4" applyNumberFormat="1"/>
    <xf numFmtId="5" fontId="2" fillId="0" borderId="0" xfId="4" applyNumberFormat="1"/>
    <xf numFmtId="165" fontId="3" fillId="3" borderId="1" xfId="1" applyNumberFormat="1" applyFont="1" applyFill="1" applyBorder="1"/>
    <xf numFmtId="0" fontId="2" fillId="0" borderId="0" xfId="4" applyAlignment="1">
      <alignment horizontal="left"/>
    </xf>
  </cellXfs>
  <cellStyles count="6">
    <cellStyle name="Comma" xfId="1" builtinId="3"/>
    <cellStyle name="Currency" xfId="2" builtinId="4"/>
    <cellStyle name="Currency 2" xfId="5" xr:uid="{B02DCA22-2198-4BC9-9561-3012E6CC3E43}"/>
    <cellStyle name="Normal" xfId="0" builtinId="0"/>
    <cellStyle name="Normal 2" xfId="4" xr:uid="{67BCA471-DC42-4914-8F19-65F0D164CA9A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0fb0a6c269ef6de/Desktop/RailVision%20Market%20Refresh%20Jan%2028%202026.xlsx" TargetMode="External"/><Relationship Id="rId1" Type="http://schemas.openxmlformats.org/officeDocument/2006/relationships/externalLinkPath" Target="/10fb0a6c269ef6de/Desktop/RailVision%20Market%20Refresh%20Jan%2028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enue Plan"/>
      <sheetName val="Summary"/>
      <sheetName val="Assumptions"/>
      <sheetName val="Railroad_Detail"/>
    </sheetNames>
    <sheetDataSet>
      <sheetData sheetId="0"/>
      <sheetData sheetId="1">
        <row r="6">
          <cell r="H6">
            <v>0.05</v>
          </cell>
          <cell r="I6">
            <v>7.4999999999999997E-2</v>
          </cell>
        </row>
        <row r="7">
          <cell r="H7">
            <v>0.18374686620529759</v>
          </cell>
          <cell r="I7">
            <v>0.25288937617408186</v>
          </cell>
        </row>
        <row r="9">
          <cell r="H9">
            <v>0.2243445692883895</v>
          </cell>
          <cell r="I9">
            <v>0.4936329588014981</v>
          </cell>
        </row>
      </sheetData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AE6A-5989-4ECD-A4DF-973FB8F3905B}">
  <dimension ref="A1:Z1034"/>
  <sheetViews>
    <sheetView tabSelected="1" zoomScale="70" zoomScaleNormal="70" workbookViewId="0">
      <selection activeCell="A1027" sqref="A1027"/>
    </sheetView>
  </sheetViews>
  <sheetFormatPr defaultColWidth="8.81640625" defaultRowHeight="14.5" outlineLevelRow="2" outlineLevelCol="1" x14ac:dyDescent="0.35"/>
  <cols>
    <col min="1" max="1" width="29.08984375" style="2" customWidth="1"/>
    <col min="2" max="2" width="15.81640625" style="2" hidden="1" customWidth="1" outlineLevel="1"/>
    <col min="3" max="3" width="7.1796875" style="2" customWidth="1" collapsed="1"/>
    <col min="4" max="4" width="49.1796875" style="2" hidden="1" customWidth="1" outlineLevel="1"/>
    <col min="5" max="5" width="10.6328125" style="3" hidden="1" customWidth="1" outlineLevel="1"/>
    <col min="6" max="6" width="12.81640625" style="2" hidden="1" customWidth="1" outlineLevel="1"/>
    <col min="7" max="7" width="12.1796875" style="2" hidden="1" customWidth="1" outlineLevel="1"/>
    <col min="8" max="8" width="10.1796875" style="2" hidden="1" customWidth="1" outlineLevel="1"/>
    <col min="9" max="9" width="15.36328125" style="2" customWidth="1" collapsed="1"/>
    <col min="10" max="10" width="8.36328125" style="4" hidden="1" customWidth="1" outlineLevel="1"/>
    <col min="11" max="11" width="9" style="2" hidden="1" customWidth="1" outlineLevel="1"/>
    <col min="12" max="12" width="1.1796875" style="2" customWidth="1" collapsed="1"/>
    <col min="13" max="13" width="9" style="3" customWidth="1"/>
    <col min="14" max="14" width="1.1796875" style="2" customWidth="1"/>
    <col min="15" max="15" width="15.90625" style="4" customWidth="1"/>
    <col min="16" max="16" width="1.1796875" style="2" customWidth="1"/>
    <col min="17" max="17" width="15.90625" style="4" customWidth="1"/>
    <col min="18" max="18" width="1.1796875" style="2" customWidth="1"/>
    <col min="19" max="19" width="14.453125" style="2" customWidth="1"/>
    <col min="20" max="20" width="1.1796875" style="2" customWidth="1"/>
    <col min="21" max="21" width="14.453125" style="2" customWidth="1"/>
    <col min="22" max="22" width="1.1796875" style="2" customWidth="1"/>
    <col min="23" max="23" width="13.1796875" style="2" customWidth="1"/>
    <col min="24" max="24" width="1.1796875" style="2" customWidth="1"/>
    <col min="25" max="25" width="15.08984375" style="2" customWidth="1"/>
    <col min="26" max="26" width="2.90625" style="2" customWidth="1"/>
    <col min="27" max="16384" width="8.81640625" style="2"/>
  </cols>
  <sheetData>
    <row r="1" spans="1:25" x14ac:dyDescent="0.35">
      <c r="A1" s="1" t="s">
        <v>0</v>
      </c>
    </row>
    <row r="2" spans="1:25" ht="26" hidden="1" outlineLevel="1" x14ac:dyDescent="0.35">
      <c r="D2" s="5" t="s">
        <v>1</v>
      </c>
      <c r="E2" s="6" t="s">
        <v>2</v>
      </c>
      <c r="F2" s="6" t="s">
        <v>3</v>
      </c>
      <c r="G2" s="6" t="s">
        <v>4</v>
      </c>
    </row>
    <row r="3" spans="1:25" hidden="1" outlineLevel="1" x14ac:dyDescent="0.35">
      <c r="D3" s="2" t="s">
        <v>5</v>
      </c>
      <c r="E3" s="7">
        <v>3.75</v>
      </c>
    </row>
    <row r="4" spans="1:25" hidden="1" outlineLevel="1" x14ac:dyDescent="0.35">
      <c r="D4" s="2" t="s">
        <v>6</v>
      </c>
      <c r="E4" s="8">
        <v>0.04</v>
      </c>
    </row>
    <row r="5" spans="1:25" hidden="1" outlineLevel="1" x14ac:dyDescent="0.35">
      <c r="D5" s="2" t="s">
        <v>7</v>
      </c>
      <c r="E5" s="8">
        <v>0.3</v>
      </c>
    </row>
    <row r="6" spans="1:25" hidden="1" outlineLevel="1" x14ac:dyDescent="0.35">
      <c r="D6" s="2" t="s">
        <v>8</v>
      </c>
      <c r="E6" s="9">
        <v>500</v>
      </c>
    </row>
    <row r="7" spans="1:25" hidden="1" outlineLevel="1" x14ac:dyDescent="0.35">
      <c r="D7" s="2" t="s">
        <v>9</v>
      </c>
      <c r="E7" s="10">
        <f>208000000/52000</f>
        <v>4000</v>
      </c>
      <c r="F7" s="11">
        <f>[1]Summary!H6</f>
        <v>0.05</v>
      </c>
      <c r="G7" s="11">
        <f>[1]Summary!I6</f>
        <v>7.4999999999999997E-2</v>
      </c>
    </row>
    <row r="8" spans="1:25" hidden="1" outlineLevel="1" x14ac:dyDescent="0.35">
      <c r="D8" s="2" t="s">
        <v>10</v>
      </c>
      <c r="E8" s="10">
        <f>3647000000/143197</f>
        <v>25468.410651061127</v>
      </c>
      <c r="F8" s="11">
        <f>[1]Summary!H7</f>
        <v>0.18374686620529759</v>
      </c>
      <c r="G8" s="11">
        <f>[1]Summary!I7</f>
        <v>0.25288937617408186</v>
      </c>
    </row>
    <row r="9" spans="1:25" hidden="1" outlineLevel="1" x14ac:dyDescent="0.35">
      <c r="D9" s="2" t="s">
        <v>11</v>
      </c>
      <c r="E9" s="10">
        <f>E8</f>
        <v>25468.410651061127</v>
      </c>
      <c r="F9" s="11">
        <f>F8</f>
        <v>0.18374686620529759</v>
      </c>
      <c r="G9" s="11">
        <f>G8</f>
        <v>0.25288937617408186</v>
      </c>
    </row>
    <row r="10" spans="1:25" hidden="1" outlineLevel="1" x14ac:dyDescent="0.35">
      <c r="D10" s="2" t="s">
        <v>12</v>
      </c>
      <c r="E10" s="10">
        <v>40000</v>
      </c>
      <c r="F10" s="11">
        <f>[1]Summary!H9</f>
        <v>0.2243445692883895</v>
      </c>
      <c r="G10" s="11">
        <f>[1]Summary!I9</f>
        <v>0.4936329588014981</v>
      </c>
    </row>
    <row r="11" spans="1:25" hidden="1" outlineLevel="1" x14ac:dyDescent="0.35">
      <c r="D11" s="2" t="s">
        <v>13</v>
      </c>
      <c r="E11" s="10"/>
      <c r="F11" s="11"/>
      <c r="G11" s="11"/>
    </row>
    <row r="12" spans="1:25" collapsed="1" x14ac:dyDescent="0.35">
      <c r="O12" s="12" t="s">
        <v>14</v>
      </c>
      <c r="Q12" s="12" t="s">
        <v>15</v>
      </c>
      <c r="S12" s="12" t="s">
        <v>15</v>
      </c>
      <c r="U12" s="3" t="s">
        <v>14</v>
      </c>
      <c r="W12" s="12" t="s">
        <v>15</v>
      </c>
      <c r="Y12" s="12" t="s">
        <v>15</v>
      </c>
    </row>
    <row r="13" spans="1:25" ht="105" customHeight="1" x14ac:dyDescent="0.25">
      <c r="A13" s="13" t="s">
        <v>16</v>
      </c>
      <c r="B13" s="14" t="s">
        <v>17</v>
      </c>
      <c r="C13" s="15" t="s">
        <v>18</v>
      </c>
      <c r="D13" s="14" t="s">
        <v>19</v>
      </c>
      <c r="E13" s="16" t="s">
        <v>20</v>
      </c>
      <c r="F13" s="14" t="s">
        <v>21</v>
      </c>
      <c r="G13" s="14" t="s">
        <v>22</v>
      </c>
      <c r="H13" s="17" t="s">
        <v>23</v>
      </c>
      <c r="I13" s="18" t="s">
        <v>24</v>
      </c>
      <c r="J13" s="18" t="s">
        <v>25</v>
      </c>
      <c r="K13" s="18" t="s">
        <v>26</v>
      </c>
      <c r="M13" s="18" t="s">
        <v>27</v>
      </c>
      <c r="O13" s="18" t="s">
        <v>28</v>
      </c>
      <c r="Q13" s="18" t="s">
        <v>29</v>
      </c>
      <c r="S13" s="18" t="s">
        <v>30</v>
      </c>
      <c r="U13" s="18" t="s">
        <v>31</v>
      </c>
      <c r="W13" s="18" t="s">
        <v>32</v>
      </c>
      <c r="Y13" s="18" t="s">
        <v>33</v>
      </c>
    </row>
    <row r="14" spans="1:25" ht="13" x14ac:dyDescent="0.3">
      <c r="A14" s="19" t="s">
        <v>34</v>
      </c>
      <c r="B14" s="20"/>
      <c r="C14" s="19">
        <f>C16+C1008+C1019</f>
        <v>493</v>
      </c>
      <c r="D14" s="20"/>
      <c r="E14" s="21"/>
      <c r="F14" s="20"/>
      <c r="G14" s="20"/>
      <c r="H14" s="19">
        <f>H16+H1008+H1019</f>
        <v>229470</v>
      </c>
      <c r="I14" s="19">
        <f>I16+I1008+I1019</f>
        <v>4925747584.6561031</v>
      </c>
      <c r="J14" s="19">
        <f>J16+J1008+J1019</f>
        <v>35839.073339551425</v>
      </c>
      <c r="K14" s="19">
        <f>K16+K1008+K1019</f>
        <v>51873.465018974544</v>
      </c>
      <c r="M14" s="19">
        <f>M16+M1008+M1019</f>
        <v>21928.134589631489</v>
      </c>
      <c r="O14" s="22">
        <f>O16+O1008+O1019</f>
        <v>18471553442.460388</v>
      </c>
      <c r="Q14" s="22">
        <f>Q16+Q1008+Q1019</f>
        <v>1539296120.2050321</v>
      </c>
      <c r="S14" s="22">
        <f>S16+S1008+S1019</f>
        <v>61571844.808201283</v>
      </c>
      <c r="U14" s="22">
        <f>W14*12</f>
        <v>221658641.3095246</v>
      </c>
      <c r="W14" s="22">
        <f>W16+W1008+W1019</f>
        <v>18471553.442460384</v>
      </c>
      <c r="Y14" s="22">
        <f>Y16+Y1008+Y1019</f>
        <v>10964067.294815745</v>
      </c>
    </row>
    <row r="15" spans="1:25" ht="12.5" x14ac:dyDescent="0.25">
      <c r="J15" s="2"/>
      <c r="O15" s="2"/>
      <c r="Q15" s="2"/>
      <c r="U15" s="23"/>
      <c r="W15" s="23"/>
      <c r="Y15" s="23"/>
    </row>
    <row r="16" spans="1:25" ht="13" x14ac:dyDescent="0.3">
      <c r="A16" s="19" t="s">
        <v>35</v>
      </c>
      <c r="B16" s="20"/>
      <c r="C16" s="19">
        <f>C133+C18+C166+C209+C235</f>
        <v>479</v>
      </c>
      <c r="D16" s="20"/>
      <c r="E16" s="21"/>
      <c r="F16" s="20"/>
      <c r="G16" s="20"/>
      <c r="H16" s="19">
        <f>H236+H133+H18+H166+H209+H235</f>
        <v>50960</v>
      </c>
      <c r="I16" s="19">
        <f>I133+I18+I166+I209+I235</f>
        <v>203840000</v>
      </c>
      <c r="J16" s="19">
        <f>J236+J133+J18+J166+J209+J235</f>
        <v>2548.0000000000018</v>
      </c>
      <c r="K16" s="19">
        <f>K236+K133+K18+K166+K209+K235</f>
        <v>3821.9999999999982</v>
      </c>
      <c r="M16" s="19">
        <f>M133+M18+M166+M209+M235</f>
        <v>1592.5</v>
      </c>
      <c r="O16" s="22">
        <f>O133+O18+O166+O209+O235</f>
        <v>764400000</v>
      </c>
      <c r="Q16" s="22">
        <f>Q133+Q18+Q166+Q209+Q235</f>
        <v>63700000</v>
      </c>
      <c r="S16" s="22">
        <f>S133+S18+S166+S209+S235</f>
        <v>2548000</v>
      </c>
      <c r="U16" s="22">
        <f>U133+U18+U166+U209+U235</f>
        <v>9172800</v>
      </c>
      <c r="W16" s="22">
        <f>W133+W18+W166+W209+W235</f>
        <v>764400</v>
      </c>
      <c r="Y16" s="22">
        <f>Y133+Y18+Y166+Y209+Y235</f>
        <v>796250</v>
      </c>
    </row>
    <row r="17" spans="1:25" ht="12.5" x14ac:dyDescent="0.25">
      <c r="J17" s="2"/>
      <c r="O17" s="2"/>
      <c r="Q17" s="2"/>
      <c r="U17" s="23"/>
      <c r="W17" s="23"/>
    </row>
    <row r="18" spans="1:25" ht="13" x14ac:dyDescent="0.3">
      <c r="A18" s="24" t="s">
        <v>36</v>
      </c>
      <c r="B18" s="25"/>
      <c r="C18" s="26">
        <f>COUNTA(A19:A130)</f>
        <v>112</v>
      </c>
      <c r="D18" s="25"/>
      <c r="E18" s="27"/>
      <c r="F18" s="25"/>
      <c r="G18" s="25"/>
      <c r="H18" s="28">
        <f>SUM(H19:H130)</f>
        <v>15117</v>
      </c>
      <c r="I18" s="28">
        <f t="shared" ref="I18:M18" si="0">SUM(I19:I130)</f>
        <v>60468000</v>
      </c>
      <c r="J18" s="29">
        <f t="shared" si="0"/>
        <v>755.85</v>
      </c>
      <c r="K18" s="29">
        <f t="shared" si="0"/>
        <v>1133.7749999999996</v>
      </c>
      <c r="M18" s="28">
        <f t="shared" si="0"/>
        <v>472.40625</v>
      </c>
      <c r="O18" s="30">
        <f>SUM(O19:O130)</f>
        <v>226755000</v>
      </c>
      <c r="Q18" s="31">
        <f>SUM(Q19:Q130)</f>
        <v>18896250</v>
      </c>
      <c r="S18" s="31">
        <f>SUM(S19:S130)</f>
        <v>755850</v>
      </c>
      <c r="U18" s="31">
        <f>SUM(U19:U130)</f>
        <v>2721060</v>
      </c>
      <c r="W18" s="31">
        <f>SUM(W19:W130)</f>
        <v>226755</v>
      </c>
      <c r="Y18" s="31">
        <f>SUM(Y19:Y130)</f>
        <v>236203.125</v>
      </c>
    </row>
    <row r="19" spans="1:25" hidden="1" outlineLevel="2" x14ac:dyDescent="0.35">
      <c r="A19" s="32" t="s">
        <v>37</v>
      </c>
      <c r="B19" s="33" t="s">
        <v>36</v>
      </c>
      <c r="C19" s="33" t="s">
        <v>38</v>
      </c>
      <c r="D19" s="33" t="s">
        <v>39</v>
      </c>
      <c r="E19" s="34" t="s">
        <v>40</v>
      </c>
      <c r="F19" s="33" t="s">
        <v>41</v>
      </c>
      <c r="G19" s="33" t="s">
        <v>42</v>
      </c>
      <c r="H19" s="35">
        <v>754</v>
      </c>
      <c r="I19" s="36">
        <f t="shared" ref="I19:I50" si="1">$E$7*H19</f>
        <v>3016000</v>
      </c>
      <c r="J19" s="37">
        <f t="shared" ref="J19:J50" si="2">H19*$F$7</f>
        <v>37.700000000000003</v>
      </c>
      <c r="K19" s="37">
        <f t="shared" ref="K19:K50" si="3">H19*$G$7</f>
        <v>56.55</v>
      </c>
      <c r="M19" s="37">
        <f t="shared" ref="M19:M82" si="4">0.5*(AVERAGE(J19:K19))</f>
        <v>23.5625</v>
      </c>
      <c r="O19" s="4">
        <f t="shared" ref="O19:O82" si="5">I19*$E$3</f>
        <v>11310000</v>
      </c>
      <c r="Q19" s="4">
        <f t="shared" ref="Q19:Q82" si="6">I19*$E$3/12</f>
        <v>942500</v>
      </c>
      <c r="S19" s="4">
        <f t="shared" ref="S19:S82" si="7">Q19*$E$4</f>
        <v>37700</v>
      </c>
      <c r="U19" s="4">
        <f>W19*12</f>
        <v>135720</v>
      </c>
      <c r="W19" s="4">
        <f t="shared" ref="W19:W82" si="8">S19*$E$5</f>
        <v>11310</v>
      </c>
      <c r="Y19" s="4">
        <f t="shared" ref="Y19:Y82" si="9">M19*$E$6</f>
        <v>11781.25</v>
      </c>
    </row>
    <row r="20" spans="1:25" hidden="1" outlineLevel="2" x14ac:dyDescent="0.35">
      <c r="A20" s="38" t="s">
        <v>43</v>
      </c>
      <c r="B20" s="39" t="s">
        <v>36</v>
      </c>
      <c r="C20" s="39" t="s">
        <v>44</v>
      </c>
      <c r="D20" s="39" t="s">
        <v>45</v>
      </c>
      <c r="E20" s="40" t="s">
        <v>46</v>
      </c>
      <c r="F20" s="39" t="s">
        <v>41</v>
      </c>
      <c r="G20" s="39" t="s">
        <v>47</v>
      </c>
      <c r="H20" s="41">
        <v>741</v>
      </c>
      <c r="I20" s="36">
        <f t="shared" si="1"/>
        <v>2964000</v>
      </c>
      <c r="J20" s="37">
        <f t="shared" si="2"/>
        <v>37.050000000000004</v>
      </c>
      <c r="K20" s="37">
        <f t="shared" si="3"/>
        <v>55.574999999999996</v>
      </c>
      <c r="M20" s="37">
        <f t="shared" si="4"/>
        <v>23.15625</v>
      </c>
      <c r="O20" s="4">
        <f t="shared" si="5"/>
        <v>11115000</v>
      </c>
      <c r="Q20" s="4">
        <f t="shared" si="6"/>
        <v>926250</v>
      </c>
      <c r="S20" s="4">
        <f t="shared" si="7"/>
        <v>37050</v>
      </c>
      <c r="U20" s="4">
        <f t="shared" ref="U20:U83" si="10">W20*12</f>
        <v>133380</v>
      </c>
      <c r="W20" s="4">
        <f t="shared" si="8"/>
        <v>11115</v>
      </c>
      <c r="Y20" s="4">
        <f t="shared" si="9"/>
        <v>11578.125</v>
      </c>
    </row>
    <row r="21" spans="1:25" hidden="1" outlineLevel="2" x14ac:dyDescent="0.35">
      <c r="A21" s="38" t="s">
        <v>48</v>
      </c>
      <c r="B21" s="39" t="s">
        <v>36</v>
      </c>
      <c r="C21" s="39" t="s">
        <v>49</v>
      </c>
      <c r="D21" s="39" t="s">
        <v>50</v>
      </c>
      <c r="E21" s="40" t="s">
        <v>51</v>
      </c>
      <c r="F21" s="39" t="s">
        <v>41</v>
      </c>
      <c r="G21" s="39" t="s">
        <v>52</v>
      </c>
      <c r="H21" s="41">
        <v>728</v>
      </c>
      <c r="I21" s="36">
        <f t="shared" si="1"/>
        <v>2912000</v>
      </c>
      <c r="J21" s="37">
        <f t="shared" si="2"/>
        <v>36.4</v>
      </c>
      <c r="K21" s="37">
        <f t="shared" si="3"/>
        <v>54.6</v>
      </c>
      <c r="M21" s="37">
        <f t="shared" si="4"/>
        <v>22.75</v>
      </c>
      <c r="O21" s="4">
        <f t="shared" si="5"/>
        <v>10920000</v>
      </c>
      <c r="Q21" s="4">
        <f t="shared" si="6"/>
        <v>910000</v>
      </c>
      <c r="S21" s="4">
        <f t="shared" si="7"/>
        <v>36400</v>
      </c>
      <c r="U21" s="4">
        <f t="shared" si="10"/>
        <v>131040</v>
      </c>
      <c r="W21" s="4">
        <f t="shared" si="8"/>
        <v>10920</v>
      </c>
      <c r="Y21" s="4">
        <f t="shared" si="9"/>
        <v>11375</v>
      </c>
    </row>
    <row r="22" spans="1:25" hidden="1" outlineLevel="2" x14ac:dyDescent="0.35">
      <c r="A22" s="38" t="s">
        <v>53</v>
      </c>
      <c r="B22" s="39" t="s">
        <v>36</v>
      </c>
      <c r="C22" s="39" t="s">
        <v>54</v>
      </c>
      <c r="D22" s="39" t="s">
        <v>55</v>
      </c>
      <c r="E22" s="40" t="s">
        <v>56</v>
      </c>
      <c r="F22" s="39" t="s">
        <v>41</v>
      </c>
      <c r="G22" s="39" t="s">
        <v>57</v>
      </c>
      <c r="H22" s="41">
        <v>566</v>
      </c>
      <c r="I22" s="36">
        <f t="shared" si="1"/>
        <v>2264000</v>
      </c>
      <c r="J22" s="37">
        <f t="shared" si="2"/>
        <v>28.3</v>
      </c>
      <c r="K22" s="37">
        <f t="shared" si="3"/>
        <v>42.449999999999996</v>
      </c>
      <c r="M22" s="37">
        <f t="shared" si="4"/>
        <v>17.6875</v>
      </c>
      <c r="O22" s="4">
        <f t="shared" si="5"/>
        <v>8490000</v>
      </c>
      <c r="Q22" s="4">
        <f t="shared" si="6"/>
        <v>707500</v>
      </c>
      <c r="S22" s="4">
        <f t="shared" si="7"/>
        <v>28300</v>
      </c>
      <c r="U22" s="4">
        <f t="shared" si="10"/>
        <v>101880</v>
      </c>
      <c r="W22" s="4">
        <f t="shared" si="8"/>
        <v>8490</v>
      </c>
      <c r="Y22" s="4">
        <f t="shared" si="9"/>
        <v>8843.75</v>
      </c>
    </row>
    <row r="23" spans="1:25" hidden="1" outlineLevel="2" x14ac:dyDescent="0.35">
      <c r="A23" s="38" t="s">
        <v>58</v>
      </c>
      <c r="B23" s="39" t="s">
        <v>36</v>
      </c>
      <c r="C23" s="39" t="s">
        <v>59</v>
      </c>
      <c r="D23" s="39" t="s">
        <v>60</v>
      </c>
      <c r="E23" s="40" t="s">
        <v>61</v>
      </c>
      <c r="F23" s="39" t="s">
        <v>41</v>
      </c>
      <c r="G23" s="39" t="s">
        <v>62</v>
      </c>
      <c r="H23" s="41">
        <v>528</v>
      </c>
      <c r="I23" s="36">
        <f t="shared" si="1"/>
        <v>2112000</v>
      </c>
      <c r="J23" s="37">
        <f t="shared" si="2"/>
        <v>26.400000000000002</v>
      </c>
      <c r="K23" s="37">
        <f t="shared" si="3"/>
        <v>39.6</v>
      </c>
      <c r="M23" s="37">
        <f t="shared" si="4"/>
        <v>16.5</v>
      </c>
      <c r="O23" s="4">
        <f t="shared" si="5"/>
        <v>7920000</v>
      </c>
      <c r="Q23" s="4">
        <f t="shared" si="6"/>
        <v>660000</v>
      </c>
      <c r="S23" s="4">
        <f t="shared" si="7"/>
        <v>26400</v>
      </c>
      <c r="U23" s="4">
        <f t="shared" si="10"/>
        <v>95040</v>
      </c>
      <c r="W23" s="4">
        <f t="shared" si="8"/>
        <v>7920</v>
      </c>
      <c r="Y23" s="4">
        <f t="shared" si="9"/>
        <v>8250</v>
      </c>
    </row>
    <row r="24" spans="1:25" hidden="1" outlineLevel="2" x14ac:dyDescent="0.35">
      <c r="A24" s="38" t="s">
        <v>63</v>
      </c>
      <c r="B24" s="39" t="s">
        <v>36</v>
      </c>
      <c r="C24" s="39" t="s">
        <v>64</v>
      </c>
      <c r="D24" s="39" t="s">
        <v>65</v>
      </c>
      <c r="E24" s="40" t="s">
        <v>66</v>
      </c>
      <c r="F24" s="39" t="s">
        <v>41</v>
      </c>
      <c r="G24" s="39" t="s">
        <v>42</v>
      </c>
      <c r="H24" s="41">
        <v>511</v>
      </c>
      <c r="I24" s="36">
        <f t="shared" si="1"/>
        <v>2044000</v>
      </c>
      <c r="J24" s="37">
        <f t="shared" si="2"/>
        <v>25.55</v>
      </c>
      <c r="K24" s="37">
        <f t="shared" si="3"/>
        <v>38.324999999999996</v>
      </c>
      <c r="M24" s="37">
        <f t="shared" si="4"/>
        <v>15.96875</v>
      </c>
      <c r="O24" s="4">
        <f t="shared" si="5"/>
        <v>7665000</v>
      </c>
      <c r="Q24" s="4">
        <f t="shared" si="6"/>
        <v>638750</v>
      </c>
      <c r="S24" s="4">
        <f t="shared" si="7"/>
        <v>25550</v>
      </c>
      <c r="U24" s="4">
        <f t="shared" si="10"/>
        <v>91980</v>
      </c>
      <c r="W24" s="4">
        <f t="shared" si="8"/>
        <v>7665</v>
      </c>
      <c r="Y24" s="4">
        <f t="shared" si="9"/>
        <v>7984.375</v>
      </c>
    </row>
    <row r="25" spans="1:25" hidden="1" outlineLevel="2" x14ac:dyDescent="0.35">
      <c r="A25" s="38" t="s">
        <v>67</v>
      </c>
      <c r="B25" s="39" t="s">
        <v>36</v>
      </c>
      <c r="C25" s="39" t="s">
        <v>68</v>
      </c>
      <c r="D25" s="39" t="s">
        <v>69</v>
      </c>
      <c r="E25" s="40" t="s">
        <v>70</v>
      </c>
      <c r="F25" s="39" t="s">
        <v>41</v>
      </c>
      <c r="G25" s="39" t="s">
        <v>71</v>
      </c>
      <c r="H25" s="41">
        <v>490</v>
      </c>
      <c r="I25" s="36">
        <f t="shared" si="1"/>
        <v>1960000</v>
      </c>
      <c r="J25" s="37">
        <f t="shared" si="2"/>
        <v>24.5</v>
      </c>
      <c r="K25" s="37">
        <f t="shared" si="3"/>
        <v>36.75</v>
      </c>
      <c r="M25" s="37">
        <f t="shared" si="4"/>
        <v>15.3125</v>
      </c>
      <c r="O25" s="4">
        <f t="shared" si="5"/>
        <v>7350000</v>
      </c>
      <c r="Q25" s="4">
        <f t="shared" si="6"/>
        <v>612500</v>
      </c>
      <c r="S25" s="4">
        <f t="shared" si="7"/>
        <v>24500</v>
      </c>
      <c r="U25" s="4">
        <f t="shared" si="10"/>
        <v>88200</v>
      </c>
      <c r="W25" s="4">
        <f t="shared" si="8"/>
        <v>7350</v>
      </c>
      <c r="Y25" s="4">
        <f t="shared" si="9"/>
        <v>7656.25</v>
      </c>
    </row>
    <row r="26" spans="1:25" hidden="1" outlineLevel="2" x14ac:dyDescent="0.35">
      <c r="A26" s="38" t="s">
        <v>72</v>
      </c>
      <c r="B26" s="39" t="s">
        <v>36</v>
      </c>
      <c r="C26" s="39" t="s">
        <v>73</v>
      </c>
      <c r="D26" s="39" t="s">
        <v>74</v>
      </c>
      <c r="E26" s="40" t="s">
        <v>66</v>
      </c>
      <c r="F26" s="39" t="s">
        <v>41</v>
      </c>
      <c r="G26" s="39" t="s">
        <v>62</v>
      </c>
      <c r="H26" s="41">
        <v>455</v>
      </c>
      <c r="I26" s="36">
        <f t="shared" si="1"/>
        <v>1820000</v>
      </c>
      <c r="J26" s="37">
        <f t="shared" si="2"/>
        <v>22.75</v>
      </c>
      <c r="K26" s="37">
        <f t="shared" si="3"/>
        <v>34.125</v>
      </c>
      <c r="M26" s="37">
        <f t="shared" si="4"/>
        <v>14.21875</v>
      </c>
      <c r="O26" s="4">
        <f t="shared" si="5"/>
        <v>6825000</v>
      </c>
      <c r="Q26" s="4">
        <f t="shared" si="6"/>
        <v>568750</v>
      </c>
      <c r="S26" s="4">
        <f t="shared" si="7"/>
        <v>22750</v>
      </c>
      <c r="U26" s="4">
        <f t="shared" si="10"/>
        <v>81900</v>
      </c>
      <c r="W26" s="4">
        <f t="shared" si="8"/>
        <v>6825</v>
      </c>
      <c r="Y26" s="4">
        <f t="shared" si="9"/>
        <v>7109.375</v>
      </c>
    </row>
    <row r="27" spans="1:25" hidden="1" outlineLevel="2" x14ac:dyDescent="0.35">
      <c r="A27" s="38" t="s">
        <v>75</v>
      </c>
      <c r="B27" s="39" t="s">
        <v>36</v>
      </c>
      <c r="C27" s="39" t="s">
        <v>76</v>
      </c>
      <c r="D27" s="39" t="s">
        <v>77</v>
      </c>
      <c r="E27" s="40" t="s">
        <v>78</v>
      </c>
      <c r="F27" s="39" t="s">
        <v>41</v>
      </c>
      <c r="G27" s="39" t="s">
        <v>79</v>
      </c>
      <c r="H27" s="41">
        <v>394</v>
      </c>
      <c r="I27" s="36">
        <f t="shared" si="1"/>
        <v>1576000</v>
      </c>
      <c r="J27" s="37">
        <f t="shared" si="2"/>
        <v>19.700000000000003</v>
      </c>
      <c r="K27" s="37">
        <f t="shared" si="3"/>
        <v>29.549999999999997</v>
      </c>
      <c r="M27" s="37">
        <f t="shared" si="4"/>
        <v>12.3125</v>
      </c>
      <c r="O27" s="4">
        <f t="shared" si="5"/>
        <v>5910000</v>
      </c>
      <c r="Q27" s="4">
        <f t="shared" si="6"/>
        <v>492500</v>
      </c>
      <c r="S27" s="4">
        <f t="shared" si="7"/>
        <v>19700</v>
      </c>
      <c r="U27" s="4">
        <f t="shared" si="10"/>
        <v>70920</v>
      </c>
      <c r="W27" s="4">
        <f t="shared" si="8"/>
        <v>5910</v>
      </c>
      <c r="Y27" s="4">
        <f t="shared" si="9"/>
        <v>6156.25</v>
      </c>
    </row>
    <row r="28" spans="1:25" hidden="1" outlineLevel="2" x14ac:dyDescent="0.35">
      <c r="A28" s="38" t="s">
        <v>80</v>
      </c>
      <c r="B28" s="39" t="s">
        <v>36</v>
      </c>
      <c r="C28" s="39" t="s">
        <v>81</v>
      </c>
      <c r="D28" s="39" t="s">
        <v>82</v>
      </c>
      <c r="E28" s="40" t="s">
        <v>61</v>
      </c>
      <c r="F28" s="39" t="s">
        <v>41</v>
      </c>
      <c r="G28" s="39" t="s">
        <v>83</v>
      </c>
      <c r="H28" s="41">
        <v>362</v>
      </c>
      <c r="I28" s="36">
        <f t="shared" si="1"/>
        <v>1448000</v>
      </c>
      <c r="J28" s="37">
        <f t="shared" si="2"/>
        <v>18.100000000000001</v>
      </c>
      <c r="K28" s="37">
        <f t="shared" si="3"/>
        <v>27.15</v>
      </c>
      <c r="M28" s="37">
        <f t="shared" si="4"/>
        <v>11.3125</v>
      </c>
      <c r="O28" s="4">
        <f t="shared" si="5"/>
        <v>5430000</v>
      </c>
      <c r="Q28" s="4">
        <f t="shared" si="6"/>
        <v>452500</v>
      </c>
      <c r="S28" s="4">
        <f t="shared" si="7"/>
        <v>18100</v>
      </c>
      <c r="U28" s="4">
        <f t="shared" si="10"/>
        <v>65160</v>
      </c>
      <c r="W28" s="4">
        <f t="shared" si="8"/>
        <v>5430</v>
      </c>
      <c r="Y28" s="4">
        <f t="shared" si="9"/>
        <v>5656.25</v>
      </c>
    </row>
    <row r="29" spans="1:25" hidden="1" outlineLevel="2" x14ac:dyDescent="0.35">
      <c r="A29" s="38" t="s">
        <v>84</v>
      </c>
      <c r="B29" s="39" t="s">
        <v>36</v>
      </c>
      <c r="C29" s="39" t="s">
        <v>85</v>
      </c>
      <c r="D29" s="39" t="s">
        <v>86</v>
      </c>
      <c r="E29" s="40" t="s">
        <v>87</v>
      </c>
      <c r="F29" s="39" t="s">
        <v>41</v>
      </c>
      <c r="G29" s="39" t="s">
        <v>42</v>
      </c>
      <c r="H29" s="41">
        <v>345</v>
      </c>
      <c r="I29" s="36">
        <f t="shared" si="1"/>
        <v>1380000</v>
      </c>
      <c r="J29" s="37">
        <f t="shared" si="2"/>
        <v>17.25</v>
      </c>
      <c r="K29" s="37">
        <f t="shared" si="3"/>
        <v>25.875</v>
      </c>
      <c r="M29" s="37">
        <f t="shared" si="4"/>
        <v>10.78125</v>
      </c>
      <c r="O29" s="4">
        <f t="shared" si="5"/>
        <v>5175000</v>
      </c>
      <c r="Q29" s="4">
        <f t="shared" si="6"/>
        <v>431250</v>
      </c>
      <c r="S29" s="4">
        <f t="shared" si="7"/>
        <v>17250</v>
      </c>
      <c r="U29" s="4">
        <f t="shared" si="10"/>
        <v>62100</v>
      </c>
      <c r="W29" s="4">
        <f t="shared" si="8"/>
        <v>5175</v>
      </c>
      <c r="Y29" s="4">
        <f t="shared" si="9"/>
        <v>5390.625</v>
      </c>
    </row>
    <row r="30" spans="1:25" hidden="1" outlineLevel="2" x14ac:dyDescent="0.35">
      <c r="A30" s="38" t="s">
        <v>88</v>
      </c>
      <c r="B30" s="39" t="s">
        <v>36</v>
      </c>
      <c r="C30" s="39" t="s">
        <v>89</v>
      </c>
      <c r="D30" s="39" t="s">
        <v>90</v>
      </c>
      <c r="E30" s="40" t="s">
        <v>91</v>
      </c>
      <c r="F30" s="39" t="s">
        <v>41</v>
      </c>
      <c r="G30" s="39" t="s">
        <v>42</v>
      </c>
      <c r="H30" s="41">
        <v>343</v>
      </c>
      <c r="I30" s="36">
        <f t="shared" si="1"/>
        <v>1372000</v>
      </c>
      <c r="J30" s="37">
        <f t="shared" si="2"/>
        <v>17.150000000000002</v>
      </c>
      <c r="K30" s="37">
        <f t="shared" si="3"/>
        <v>25.724999999999998</v>
      </c>
      <c r="M30" s="37">
        <f t="shared" si="4"/>
        <v>10.71875</v>
      </c>
      <c r="O30" s="4">
        <f t="shared" si="5"/>
        <v>5145000</v>
      </c>
      <c r="Q30" s="4">
        <f t="shared" si="6"/>
        <v>428750</v>
      </c>
      <c r="S30" s="4">
        <f t="shared" si="7"/>
        <v>17150</v>
      </c>
      <c r="U30" s="4">
        <f t="shared" si="10"/>
        <v>61740</v>
      </c>
      <c r="W30" s="4">
        <f t="shared" si="8"/>
        <v>5145</v>
      </c>
      <c r="Y30" s="4">
        <f t="shared" si="9"/>
        <v>5359.375</v>
      </c>
    </row>
    <row r="31" spans="1:25" hidden="1" outlineLevel="2" x14ac:dyDescent="0.35">
      <c r="A31" s="38" t="s">
        <v>92</v>
      </c>
      <c r="B31" s="39" t="s">
        <v>36</v>
      </c>
      <c r="C31" s="39" t="s">
        <v>93</v>
      </c>
      <c r="D31" s="39" t="s">
        <v>94</v>
      </c>
      <c r="E31" s="40" t="s">
        <v>95</v>
      </c>
      <c r="F31" s="39" t="s">
        <v>41</v>
      </c>
      <c r="G31" s="39" t="s">
        <v>96</v>
      </c>
      <c r="H31" s="41">
        <v>323</v>
      </c>
      <c r="I31" s="36">
        <f t="shared" si="1"/>
        <v>1292000</v>
      </c>
      <c r="J31" s="37">
        <f t="shared" si="2"/>
        <v>16.150000000000002</v>
      </c>
      <c r="K31" s="37">
        <f t="shared" si="3"/>
        <v>24.224999999999998</v>
      </c>
      <c r="M31" s="37">
        <f t="shared" si="4"/>
        <v>10.09375</v>
      </c>
      <c r="O31" s="4">
        <f t="shared" si="5"/>
        <v>4845000</v>
      </c>
      <c r="Q31" s="4">
        <f t="shared" si="6"/>
        <v>403750</v>
      </c>
      <c r="S31" s="4">
        <f t="shared" si="7"/>
        <v>16150</v>
      </c>
      <c r="U31" s="4">
        <f t="shared" si="10"/>
        <v>58140</v>
      </c>
      <c r="W31" s="4">
        <f t="shared" si="8"/>
        <v>4845</v>
      </c>
      <c r="Y31" s="4">
        <f t="shared" si="9"/>
        <v>5046.875</v>
      </c>
    </row>
    <row r="32" spans="1:25" hidden="1" outlineLevel="2" x14ac:dyDescent="0.35">
      <c r="A32" s="38" t="s">
        <v>97</v>
      </c>
      <c r="B32" s="39" t="s">
        <v>36</v>
      </c>
      <c r="C32" s="39" t="s">
        <v>98</v>
      </c>
      <c r="D32" s="39" t="s">
        <v>99</v>
      </c>
      <c r="E32" s="40" t="s">
        <v>100</v>
      </c>
      <c r="F32" s="39" t="s">
        <v>101</v>
      </c>
      <c r="G32" s="39" t="s">
        <v>102</v>
      </c>
      <c r="H32" s="41">
        <v>301</v>
      </c>
      <c r="I32" s="36">
        <f t="shared" si="1"/>
        <v>1204000</v>
      </c>
      <c r="J32" s="37">
        <f t="shared" si="2"/>
        <v>15.05</v>
      </c>
      <c r="K32" s="37">
        <f t="shared" si="3"/>
        <v>22.574999999999999</v>
      </c>
      <c r="M32" s="37">
        <f t="shared" si="4"/>
        <v>9.40625</v>
      </c>
      <c r="O32" s="4">
        <f t="shared" si="5"/>
        <v>4515000</v>
      </c>
      <c r="Q32" s="4">
        <f t="shared" si="6"/>
        <v>376250</v>
      </c>
      <c r="S32" s="4">
        <f t="shared" si="7"/>
        <v>15050</v>
      </c>
      <c r="U32" s="4">
        <f t="shared" si="10"/>
        <v>54180</v>
      </c>
      <c r="W32" s="4">
        <f t="shared" si="8"/>
        <v>4515</v>
      </c>
      <c r="Y32" s="4">
        <f t="shared" si="9"/>
        <v>4703.125</v>
      </c>
    </row>
    <row r="33" spans="1:25" hidden="1" outlineLevel="2" x14ac:dyDescent="0.35">
      <c r="A33" s="38" t="s">
        <v>103</v>
      </c>
      <c r="B33" s="39" t="s">
        <v>36</v>
      </c>
      <c r="C33" s="39" t="s">
        <v>104</v>
      </c>
      <c r="D33" s="39" t="s">
        <v>105</v>
      </c>
      <c r="E33" s="40" t="s">
        <v>106</v>
      </c>
      <c r="F33" s="39" t="s">
        <v>41</v>
      </c>
      <c r="G33" s="39" t="s">
        <v>62</v>
      </c>
      <c r="H33" s="41">
        <v>284</v>
      </c>
      <c r="I33" s="36">
        <f t="shared" si="1"/>
        <v>1136000</v>
      </c>
      <c r="J33" s="37">
        <f t="shared" si="2"/>
        <v>14.200000000000001</v>
      </c>
      <c r="K33" s="37">
        <f t="shared" si="3"/>
        <v>21.3</v>
      </c>
      <c r="M33" s="37">
        <f t="shared" si="4"/>
        <v>8.875</v>
      </c>
      <c r="O33" s="4">
        <f t="shared" si="5"/>
        <v>4260000</v>
      </c>
      <c r="Q33" s="4">
        <f t="shared" si="6"/>
        <v>355000</v>
      </c>
      <c r="S33" s="4">
        <f t="shared" si="7"/>
        <v>14200</v>
      </c>
      <c r="U33" s="4">
        <f t="shared" si="10"/>
        <v>51120</v>
      </c>
      <c r="W33" s="4">
        <f t="shared" si="8"/>
        <v>4260</v>
      </c>
      <c r="Y33" s="4">
        <f t="shared" si="9"/>
        <v>4437.5</v>
      </c>
    </row>
    <row r="34" spans="1:25" hidden="1" outlineLevel="2" x14ac:dyDescent="0.35">
      <c r="A34" s="38" t="s">
        <v>107</v>
      </c>
      <c r="B34" s="39" t="s">
        <v>36</v>
      </c>
      <c r="C34" s="39" t="s">
        <v>108</v>
      </c>
      <c r="D34" s="39" t="s">
        <v>109</v>
      </c>
      <c r="E34" s="40" t="s">
        <v>109</v>
      </c>
      <c r="F34" s="39" t="s">
        <v>41</v>
      </c>
      <c r="G34" s="39" t="s">
        <v>110</v>
      </c>
      <c r="H34" s="41">
        <v>280</v>
      </c>
      <c r="I34" s="36">
        <f t="shared" si="1"/>
        <v>1120000</v>
      </c>
      <c r="J34" s="37">
        <f t="shared" si="2"/>
        <v>14</v>
      </c>
      <c r="K34" s="37">
        <f t="shared" si="3"/>
        <v>21</v>
      </c>
      <c r="M34" s="37">
        <f t="shared" si="4"/>
        <v>8.75</v>
      </c>
      <c r="O34" s="4">
        <f t="shared" si="5"/>
        <v>4200000</v>
      </c>
      <c r="Q34" s="4">
        <f t="shared" si="6"/>
        <v>350000</v>
      </c>
      <c r="S34" s="4">
        <f t="shared" si="7"/>
        <v>14000</v>
      </c>
      <c r="U34" s="4">
        <f t="shared" si="10"/>
        <v>50400</v>
      </c>
      <c r="W34" s="4">
        <f t="shared" si="8"/>
        <v>4200</v>
      </c>
      <c r="Y34" s="4">
        <f t="shared" si="9"/>
        <v>4375</v>
      </c>
    </row>
    <row r="35" spans="1:25" hidden="1" outlineLevel="2" x14ac:dyDescent="0.35">
      <c r="A35" s="38" t="s">
        <v>111</v>
      </c>
      <c r="B35" s="39" t="s">
        <v>36</v>
      </c>
      <c r="C35" s="39" t="s">
        <v>112</v>
      </c>
      <c r="D35" s="39" t="s">
        <v>113</v>
      </c>
      <c r="E35" s="40" t="s">
        <v>114</v>
      </c>
      <c r="F35" s="39" t="s">
        <v>41</v>
      </c>
      <c r="G35" s="39" t="s">
        <v>115</v>
      </c>
      <c r="H35" s="41">
        <v>273</v>
      </c>
      <c r="I35" s="36">
        <f t="shared" si="1"/>
        <v>1092000</v>
      </c>
      <c r="J35" s="37">
        <f t="shared" si="2"/>
        <v>13.65</v>
      </c>
      <c r="K35" s="37">
        <f t="shared" si="3"/>
        <v>20.474999999999998</v>
      </c>
      <c r="M35" s="37">
        <f t="shared" si="4"/>
        <v>8.53125</v>
      </c>
      <c r="O35" s="4">
        <f t="shared" si="5"/>
        <v>4095000</v>
      </c>
      <c r="Q35" s="4">
        <f t="shared" si="6"/>
        <v>341250</v>
      </c>
      <c r="S35" s="4">
        <f t="shared" si="7"/>
        <v>13650</v>
      </c>
      <c r="U35" s="4">
        <f t="shared" si="10"/>
        <v>49140</v>
      </c>
      <c r="W35" s="4">
        <f t="shared" si="8"/>
        <v>4095</v>
      </c>
      <c r="Y35" s="4">
        <f t="shared" si="9"/>
        <v>4265.625</v>
      </c>
    </row>
    <row r="36" spans="1:25" hidden="1" outlineLevel="2" x14ac:dyDescent="0.35">
      <c r="A36" s="38" t="s">
        <v>116</v>
      </c>
      <c r="B36" s="39" t="s">
        <v>36</v>
      </c>
      <c r="C36" s="39" t="s">
        <v>117</v>
      </c>
      <c r="D36" s="39" t="s">
        <v>99</v>
      </c>
      <c r="E36" s="40" t="s">
        <v>100</v>
      </c>
      <c r="F36" s="39" t="s">
        <v>101</v>
      </c>
      <c r="G36" s="39" t="s">
        <v>62</v>
      </c>
      <c r="H36" s="41">
        <v>261</v>
      </c>
      <c r="I36" s="36">
        <f t="shared" si="1"/>
        <v>1044000</v>
      </c>
      <c r="J36" s="37">
        <f t="shared" si="2"/>
        <v>13.05</v>
      </c>
      <c r="K36" s="37">
        <f t="shared" si="3"/>
        <v>19.574999999999999</v>
      </c>
      <c r="M36" s="37">
        <f t="shared" si="4"/>
        <v>8.15625</v>
      </c>
      <c r="O36" s="4">
        <f t="shared" si="5"/>
        <v>3915000</v>
      </c>
      <c r="Q36" s="4">
        <f t="shared" si="6"/>
        <v>326250</v>
      </c>
      <c r="S36" s="4">
        <f t="shared" si="7"/>
        <v>13050</v>
      </c>
      <c r="U36" s="4">
        <f t="shared" si="10"/>
        <v>46980</v>
      </c>
      <c r="W36" s="4">
        <f t="shared" si="8"/>
        <v>3915</v>
      </c>
      <c r="Y36" s="4">
        <f t="shared" si="9"/>
        <v>4078.125</v>
      </c>
    </row>
    <row r="37" spans="1:25" hidden="1" outlineLevel="2" x14ac:dyDescent="0.35">
      <c r="A37" s="38" t="s">
        <v>118</v>
      </c>
      <c r="B37" s="39" t="s">
        <v>36</v>
      </c>
      <c r="C37" s="39" t="s">
        <v>119</v>
      </c>
      <c r="D37" s="39" t="s">
        <v>120</v>
      </c>
      <c r="E37" s="40" t="s">
        <v>91</v>
      </c>
      <c r="F37" s="39" t="s">
        <v>41</v>
      </c>
      <c r="G37" s="39" t="s">
        <v>42</v>
      </c>
      <c r="H37" s="41">
        <v>256</v>
      </c>
      <c r="I37" s="36">
        <f t="shared" si="1"/>
        <v>1024000</v>
      </c>
      <c r="J37" s="37">
        <f t="shared" si="2"/>
        <v>12.8</v>
      </c>
      <c r="K37" s="37">
        <f t="shared" si="3"/>
        <v>19.2</v>
      </c>
      <c r="M37" s="37">
        <f t="shared" si="4"/>
        <v>8</v>
      </c>
      <c r="O37" s="4">
        <f t="shared" si="5"/>
        <v>3840000</v>
      </c>
      <c r="Q37" s="4">
        <f t="shared" si="6"/>
        <v>320000</v>
      </c>
      <c r="S37" s="4">
        <f t="shared" si="7"/>
        <v>12800</v>
      </c>
      <c r="U37" s="4">
        <f t="shared" si="10"/>
        <v>46080</v>
      </c>
      <c r="W37" s="4">
        <f t="shared" si="8"/>
        <v>3840</v>
      </c>
      <c r="Y37" s="4">
        <f t="shared" si="9"/>
        <v>4000</v>
      </c>
    </row>
    <row r="38" spans="1:25" hidden="1" outlineLevel="2" x14ac:dyDescent="0.35">
      <c r="A38" s="38" t="s">
        <v>121</v>
      </c>
      <c r="B38" s="39" t="s">
        <v>36</v>
      </c>
      <c r="C38" s="39" t="s">
        <v>122</v>
      </c>
      <c r="D38" s="39" t="s">
        <v>60</v>
      </c>
      <c r="E38" s="40" t="s">
        <v>61</v>
      </c>
      <c r="F38" s="39" t="s">
        <v>41</v>
      </c>
      <c r="G38" s="39" t="s">
        <v>62</v>
      </c>
      <c r="H38" s="41">
        <v>250</v>
      </c>
      <c r="I38" s="36">
        <f t="shared" si="1"/>
        <v>1000000</v>
      </c>
      <c r="J38" s="37">
        <f t="shared" si="2"/>
        <v>12.5</v>
      </c>
      <c r="K38" s="37">
        <f t="shared" si="3"/>
        <v>18.75</v>
      </c>
      <c r="M38" s="37">
        <f t="shared" si="4"/>
        <v>7.8125</v>
      </c>
      <c r="O38" s="4">
        <f t="shared" si="5"/>
        <v>3750000</v>
      </c>
      <c r="Q38" s="4">
        <f t="shared" si="6"/>
        <v>312500</v>
      </c>
      <c r="S38" s="4">
        <f t="shared" si="7"/>
        <v>12500</v>
      </c>
      <c r="U38" s="4">
        <f t="shared" si="10"/>
        <v>45000</v>
      </c>
      <c r="W38" s="4">
        <f t="shared" si="8"/>
        <v>3750</v>
      </c>
      <c r="Y38" s="4">
        <f t="shared" si="9"/>
        <v>3906.25</v>
      </c>
    </row>
    <row r="39" spans="1:25" hidden="1" outlineLevel="2" x14ac:dyDescent="0.35">
      <c r="A39" s="38" t="s">
        <v>123</v>
      </c>
      <c r="B39" s="39" t="s">
        <v>36</v>
      </c>
      <c r="C39" s="39" t="s">
        <v>124</v>
      </c>
      <c r="D39" s="39" t="s">
        <v>125</v>
      </c>
      <c r="E39" s="40" t="s">
        <v>126</v>
      </c>
      <c r="F39" s="39" t="s">
        <v>41</v>
      </c>
      <c r="G39" s="39" t="s">
        <v>42</v>
      </c>
      <c r="H39" s="41">
        <v>249</v>
      </c>
      <c r="I39" s="36">
        <f t="shared" si="1"/>
        <v>996000</v>
      </c>
      <c r="J39" s="37">
        <f t="shared" si="2"/>
        <v>12.450000000000001</v>
      </c>
      <c r="K39" s="37">
        <f t="shared" si="3"/>
        <v>18.675000000000001</v>
      </c>
      <c r="M39" s="37">
        <f t="shared" si="4"/>
        <v>7.78125</v>
      </c>
      <c r="O39" s="4">
        <f t="shared" si="5"/>
        <v>3735000</v>
      </c>
      <c r="Q39" s="4">
        <f t="shared" si="6"/>
        <v>311250</v>
      </c>
      <c r="S39" s="4">
        <f t="shared" si="7"/>
        <v>12450</v>
      </c>
      <c r="U39" s="4">
        <f t="shared" si="10"/>
        <v>44820</v>
      </c>
      <c r="W39" s="4">
        <f t="shared" si="8"/>
        <v>3735</v>
      </c>
      <c r="Y39" s="4">
        <f t="shared" si="9"/>
        <v>3890.625</v>
      </c>
    </row>
    <row r="40" spans="1:25" hidden="1" outlineLevel="2" x14ac:dyDescent="0.35">
      <c r="A40" s="38" t="s">
        <v>127</v>
      </c>
      <c r="B40" s="39" t="s">
        <v>36</v>
      </c>
      <c r="C40" s="39" t="s">
        <v>128</v>
      </c>
      <c r="D40" s="39" t="s">
        <v>129</v>
      </c>
      <c r="E40" s="40" t="s">
        <v>130</v>
      </c>
      <c r="F40" s="39" t="s">
        <v>101</v>
      </c>
      <c r="G40" s="39" t="s">
        <v>131</v>
      </c>
      <c r="H40" s="41">
        <v>246</v>
      </c>
      <c r="I40" s="36">
        <f t="shared" si="1"/>
        <v>984000</v>
      </c>
      <c r="J40" s="37">
        <f t="shared" si="2"/>
        <v>12.3</v>
      </c>
      <c r="K40" s="37">
        <f t="shared" si="3"/>
        <v>18.45</v>
      </c>
      <c r="M40" s="37">
        <f t="shared" si="4"/>
        <v>7.6875</v>
      </c>
      <c r="O40" s="4">
        <f t="shared" si="5"/>
        <v>3690000</v>
      </c>
      <c r="Q40" s="4">
        <f t="shared" si="6"/>
        <v>307500</v>
      </c>
      <c r="S40" s="4">
        <f t="shared" si="7"/>
        <v>12300</v>
      </c>
      <c r="U40" s="4">
        <f t="shared" si="10"/>
        <v>44280</v>
      </c>
      <c r="W40" s="4">
        <f t="shared" si="8"/>
        <v>3690</v>
      </c>
      <c r="Y40" s="4">
        <f t="shared" si="9"/>
        <v>3843.75</v>
      </c>
    </row>
    <row r="41" spans="1:25" hidden="1" outlineLevel="2" x14ac:dyDescent="0.35">
      <c r="A41" s="38" t="s">
        <v>132</v>
      </c>
      <c r="B41" s="39" t="s">
        <v>36</v>
      </c>
      <c r="C41" s="39" t="s">
        <v>133</v>
      </c>
      <c r="D41" s="39" t="s">
        <v>109</v>
      </c>
      <c r="E41" s="40" t="s">
        <v>66</v>
      </c>
      <c r="F41" s="39" t="s">
        <v>41</v>
      </c>
      <c r="G41" s="39" t="s">
        <v>134</v>
      </c>
      <c r="H41" s="41">
        <v>243</v>
      </c>
      <c r="I41" s="36">
        <f t="shared" si="1"/>
        <v>972000</v>
      </c>
      <c r="J41" s="37">
        <f t="shared" si="2"/>
        <v>12.15</v>
      </c>
      <c r="K41" s="37">
        <f t="shared" si="3"/>
        <v>18.224999999999998</v>
      </c>
      <c r="M41" s="37">
        <f t="shared" si="4"/>
        <v>7.59375</v>
      </c>
      <c r="O41" s="4">
        <f t="shared" si="5"/>
        <v>3645000</v>
      </c>
      <c r="Q41" s="4">
        <f t="shared" si="6"/>
        <v>303750</v>
      </c>
      <c r="S41" s="4">
        <f t="shared" si="7"/>
        <v>12150</v>
      </c>
      <c r="U41" s="4">
        <f t="shared" si="10"/>
        <v>43740</v>
      </c>
      <c r="W41" s="4">
        <f t="shared" si="8"/>
        <v>3645</v>
      </c>
      <c r="Y41" s="4">
        <f t="shared" si="9"/>
        <v>3796.875</v>
      </c>
    </row>
    <row r="42" spans="1:25" hidden="1" outlineLevel="2" x14ac:dyDescent="0.35">
      <c r="A42" s="38" t="s">
        <v>135</v>
      </c>
      <c r="B42" s="39" t="s">
        <v>36</v>
      </c>
      <c r="C42" s="39" t="s">
        <v>136</v>
      </c>
      <c r="D42" s="39" t="s">
        <v>137</v>
      </c>
      <c r="E42" s="40" t="s">
        <v>138</v>
      </c>
      <c r="F42" s="39" t="s">
        <v>41</v>
      </c>
      <c r="G42" s="39" t="s">
        <v>42</v>
      </c>
      <c r="H42" s="41">
        <v>234</v>
      </c>
      <c r="I42" s="36">
        <f t="shared" si="1"/>
        <v>936000</v>
      </c>
      <c r="J42" s="37">
        <f t="shared" si="2"/>
        <v>11.700000000000001</v>
      </c>
      <c r="K42" s="37">
        <f t="shared" si="3"/>
        <v>17.55</v>
      </c>
      <c r="M42" s="37">
        <f t="shared" si="4"/>
        <v>7.3125</v>
      </c>
      <c r="O42" s="4">
        <f t="shared" si="5"/>
        <v>3510000</v>
      </c>
      <c r="Q42" s="4">
        <f t="shared" si="6"/>
        <v>292500</v>
      </c>
      <c r="S42" s="4">
        <f t="shared" si="7"/>
        <v>11700</v>
      </c>
      <c r="U42" s="4">
        <f t="shared" si="10"/>
        <v>42120</v>
      </c>
      <c r="W42" s="4">
        <f t="shared" si="8"/>
        <v>3510</v>
      </c>
      <c r="Y42" s="4">
        <f t="shared" si="9"/>
        <v>3656.25</v>
      </c>
    </row>
    <row r="43" spans="1:25" hidden="1" outlineLevel="2" x14ac:dyDescent="0.35">
      <c r="A43" s="38" t="s">
        <v>139</v>
      </c>
      <c r="B43" s="39" t="s">
        <v>36</v>
      </c>
      <c r="C43" s="39" t="s">
        <v>140</v>
      </c>
      <c r="D43" s="39" t="s">
        <v>141</v>
      </c>
      <c r="E43" s="40" t="s">
        <v>106</v>
      </c>
      <c r="F43" s="39" t="s">
        <v>41</v>
      </c>
      <c r="G43" s="39" t="s">
        <v>142</v>
      </c>
      <c r="H43" s="41">
        <v>234</v>
      </c>
      <c r="I43" s="36">
        <f t="shared" si="1"/>
        <v>936000</v>
      </c>
      <c r="J43" s="37">
        <f t="shared" si="2"/>
        <v>11.700000000000001</v>
      </c>
      <c r="K43" s="37">
        <f t="shared" si="3"/>
        <v>17.55</v>
      </c>
      <c r="M43" s="37">
        <f t="shared" si="4"/>
        <v>7.3125</v>
      </c>
      <c r="O43" s="4">
        <f t="shared" si="5"/>
        <v>3510000</v>
      </c>
      <c r="Q43" s="4">
        <f t="shared" si="6"/>
        <v>292500</v>
      </c>
      <c r="S43" s="4">
        <f t="shared" si="7"/>
        <v>11700</v>
      </c>
      <c r="U43" s="4">
        <f t="shared" si="10"/>
        <v>42120</v>
      </c>
      <c r="W43" s="4">
        <f t="shared" si="8"/>
        <v>3510</v>
      </c>
      <c r="Y43" s="4">
        <f t="shared" si="9"/>
        <v>3656.25</v>
      </c>
    </row>
    <row r="44" spans="1:25" hidden="1" outlineLevel="2" x14ac:dyDescent="0.35">
      <c r="A44" s="38" t="s">
        <v>143</v>
      </c>
      <c r="B44" s="39" t="s">
        <v>36</v>
      </c>
      <c r="C44" s="39" t="s">
        <v>144</v>
      </c>
      <c r="D44" s="39" t="s">
        <v>145</v>
      </c>
      <c r="E44" s="40" t="s">
        <v>146</v>
      </c>
      <c r="F44" s="39" t="s">
        <v>41</v>
      </c>
      <c r="G44" s="39" t="s">
        <v>147</v>
      </c>
      <c r="H44" s="41">
        <v>211</v>
      </c>
      <c r="I44" s="36">
        <f t="shared" si="1"/>
        <v>844000</v>
      </c>
      <c r="J44" s="37">
        <f t="shared" si="2"/>
        <v>10.55</v>
      </c>
      <c r="K44" s="37">
        <f t="shared" si="3"/>
        <v>15.824999999999999</v>
      </c>
      <c r="M44" s="37">
        <f t="shared" si="4"/>
        <v>6.59375</v>
      </c>
      <c r="O44" s="4">
        <f t="shared" si="5"/>
        <v>3165000</v>
      </c>
      <c r="Q44" s="4">
        <f t="shared" si="6"/>
        <v>263750</v>
      </c>
      <c r="S44" s="4">
        <f t="shared" si="7"/>
        <v>10550</v>
      </c>
      <c r="U44" s="4">
        <f t="shared" si="10"/>
        <v>37980</v>
      </c>
      <c r="W44" s="4">
        <f t="shared" si="8"/>
        <v>3165</v>
      </c>
      <c r="Y44" s="4">
        <f t="shared" si="9"/>
        <v>3296.875</v>
      </c>
    </row>
    <row r="45" spans="1:25" hidden="1" outlineLevel="2" x14ac:dyDescent="0.35">
      <c r="A45" s="38" t="s">
        <v>148</v>
      </c>
      <c r="B45" s="39" t="s">
        <v>36</v>
      </c>
      <c r="C45" s="39" t="s">
        <v>149</v>
      </c>
      <c r="D45" s="39" t="s">
        <v>150</v>
      </c>
      <c r="E45" s="40" t="s">
        <v>126</v>
      </c>
      <c r="F45" s="39" t="s">
        <v>41</v>
      </c>
      <c r="G45" s="39" t="s">
        <v>151</v>
      </c>
      <c r="H45" s="41">
        <v>195</v>
      </c>
      <c r="I45" s="36">
        <f t="shared" si="1"/>
        <v>780000</v>
      </c>
      <c r="J45" s="37">
        <f t="shared" si="2"/>
        <v>9.75</v>
      </c>
      <c r="K45" s="37">
        <f t="shared" si="3"/>
        <v>14.625</v>
      </c>
      <c r="M45" s="37">
        <f t="shared" si="4"/>
        <v>6.09375</v>
      </c>
      <c r="O45" s="4">
        <f t="shared" si="5"/>
        <v>2925000</v>
      </c>
      <c r="Q45" s="4">
        <f t="shared" si="6"/>
        <v>243750</v>
      </c>
      <c r="S45" s="4">
        <f t="shared" si="7"/>
        <v>9750</v>
      </c>
      <c r="U45" s="4">
        <f t="shared" si="10"/>
        <v>35100</v>
      </c>
      <c r="W45" s="4">
        <f t="shared" si="8"/>
        <v>2925</v>
      </c>
      <c r="Y45" s="4">
        <f t="shared" si="9"/>
        <v>3046.875</v>
      </c>
    </row>
    <row r="46" spans="1:25" hidden="1" outlineLevel="2" x14ac:dyDescent="0.35">
      <c r="A46" s="38" t="s">
        <v>152</v>
      </c>
      <c r="B46" s="39" t="s">
        <v>36</v>
      </c>
      <c r="C46" s="39" t="s">
        <v>153</v>
      </c>
      <c r="D46" s="39" t="s">
        <v>154</v>
      </c>
      <c r="E46" s="40" t="s">
        <v>95</v>
      </c>
      <c r="F46" s="39" t="s">
        <v>41</v>
      </c>
      <c r="G46" s="39" t="s">
        <v>42</v>
      </c>
      <c r="H46" s="41">
        <v>190</v>
      </c>
      <c r="I46" s="36">
        <f t="shared" si="1"/>
        <v>760000</v>
      </c>
      <c r="J46" s="37">
        <f t="shared" si="2"/>
        <v>9.5</v>
      </c>
      <c r="K46" s="37">
        <f t="shared" si="3"/>
        <v>14.25</v>
      </c>
      <c r="M46" s="37">
        <f t="shared" si="4"/>
        <v>5.9375</v>
      </c>
      <c r="O46" s="4">
        <f t="shared" si="5"/>
        <v>2850000</v>
      </c>
      <c r="Q46" s="4">
        <f t="shared" si="6"/>
        <v>237500</v>
      </c>
      <c r="S46" s="4">
        <f t="shared" si="7"/>
        <v>9500</v>
      </c>
      <c r="U46" s="4">
        <f t="shared" si="10"/>
        <v>34200</v>
      </c>
      <c r="W46" s="4">
        <f t="shared" si="8"/>
        <v>2850</v>
      </c>
      <c r="Y46" s="4">
        <f t="shared" si="9"/>
        <v>2968.75</v>
      </c>
    </row>
    <row r="47" spans="1:25" hidden="1" outlineLevel="2" x14ac:dyDescent="0.35">
      <c r="A47" s="38" t="s">
        <v>155</v>
      </c>
      <c r="B47" s="39" t="s">
        <v>36</v>
      </c>
      <c r="C47" s="39" t="s">
        <v>156</v>
      </c>
      <c r="D47" s="39" t="s">
        <v>145</v>
      </c>
      <c r="E47" s="40" t="s">
        <v>146</v>
      </c>
      <c r="F47" s="39" t="s">
        <v>41</v>
      </c>
      <c r="G47" s="39" t="s">
        <v>157</v>
      </c>
      <c r="H47" s="41">
        <v>182</v>
      </c>
      <c r="I47" s="36">
        <f t="shared" si="1"/>
        <v>728000</v>
      </c>
      <c r="J47" s="37">
        <f t="shared" si="2"/>
        <v>9.1</v>
      </c>
      <c r="K47" s="37">
        <f t="shared" si="3"/>
        <v>13.65</v>
      </c>
      <c r="M47" s="37">
        <f t="shared" si="4"/>
        <v>5.6875</v>
      </c>
      <c r="O47" s="4">
        <f t="shared" si="5"/>
        <v>2730000</v>
      </c>
      <c r="Q47" s="4">
        <f t="shared" si="6"/>
        <v>227500</v>
      </c>
      <c r="S47" s="4">
        <f t="shared" si="7"/>
        <v>9100</v>
      </c>
      <c r="U47" s="4">
        <f t="shared" si="10"/>
        <v>32760</v>
      </c>
      <c r="W47" s="4">
        <f t="shared" si="8"/>
        <v>2730</v>
      </c>
      <c r="Y47" s="4">
        <f t="shared" si="9"/>
        <v>2843.75</v>
      </c>
    </row>
    <row r="48" spans="1:25" hidden="1" outlineLevel="2" x14ac:dyDescent="0.35">
      <c r="A48" s="38" t="s">
        <v>158</v>
      </c>
      <c r="B48" s="39" t="s">
        <v>36</v>
      </c>
      <c r="C48" s="39" t="s">
        <v>159</v>
      </c>
      <c r="D48" s="39" t="s">
        <v>160</v>
      </c>
      <c r="E48" s="40" t="s">
        <v>161</v>
      </c>
      <c r="F48" s="39" t="s">
        <v>101</v>
      </c>
      <c r="G48" s="39" t="s">
        <v>62</v>
      </c>
      <c r="H48" s="41">
        <v>172</v>
      </c>
      <c r="I48" s="36">
        <f t="shared" si="1"/>
        <v>688000</v>
      </c>
      <c r="J48" s="37">
        <f t="shared" si="2"/>
        <v>8.6</v>
      </c>
      <c r="K48" s="37">
        <f t="shared" si="3"/>
        <v>12.9</v>
      </c>
      <c r="M48" s="37">
        <f t="shared" si="4"/>
        <v>5.375</v>
      </c>
      <c r="O48" s="4">
        <f t="shared" si="5"/>
        <v>2580000</v>
      </c>
      <c r="Q48" s="4">
        <f t="shared" si="6"/>
        <v>215000</v>
      </c>
      <c r="S48" s="4">
        <f t="shared" si="7"/>
        <v>8600</v>
      </c>
      <c r="U48" s="4">
        <f t="shared" si="10"/>
        <v>30960</v>
      </c>
      <c r="W48" s="4">
        <f t="shared" si="8"/>
        <v>2580</v>
      </c>
      <c r="Y48" s="4">
        <f t="shared" si="9"/>
        <v>2687.5</v>
      </c>
    </row>
    <row r="49" spans="1:25" hidden="1" outlineLevel="2" x14ac:dyDescent="0.35">
      <c r="A49" s="38" t="s">
        <v>162</v>
      </c>
      <c r="B49" s="39" t="s">
        <v>36</v>
      </c>
      <c r="C49" s="39" t="s">
        <v>163</v>
      </c>
      <c r="D49" s="39" t="s">
        <v>164</v>
      </c>
      <c r="E49" s="40" t="s">
        <v>165</v>
      </c>
      <c r="F49" s="39" t="s">
        <v>41</v>
      </c>
      <c r="G49" s="39" t="s">
        <v>42</v>
      </c>
      <c r="H49" s="41">
        <v>170</v>
      </c>
      <c r="I49" s="36">
        <f t="shared" si="1"/>
        <v>680000</v>
      </c>
      <c r="J49" s="37">
        <f t="shared" si="2"/>
        <v>8.5</v>
      </c>
      <c r="K49" s="37">
        <f t="shared" si="3"/>
        <v>12.75</v>
      </c>
      <c r="M49" s="37">
        <f t="shared" si="4"/>
        <v>5.3125</v>
      </c>
      <c r="O49" s="4">
        <f t="shared" si="5"/>
        <v>2550000</v>
      </c>
      <c r="Q49" s="4">
        <f t="shared" si="6"/>
        <v>212500</v>
      </c>
      <c r="S49" s="4">
        <f t="shared" si="7"/>
        <v>8500</v>
      </c>
      <c r="U49" s="4">
        <f t="shared" si="10"/>
        <v>30600</v>
      </c>
      <c r="W49" s="4">
        <f t="shared" si="8"/>
        <v>2550</v>
      </c>
      <c r="Y49" s="4">
        <f t="shared" si="9"/>
        <v>2656.25</v>
      </c>
    </row>
    <row r="50" spans="1:25" hidden="1" outlineLevel="2" x14ac:dyDescent="0.35">
      <c r="A50" s="38" t="s">
        <v>166</v>
      </c>
      <c r="B50" s="39" t="s">
        <v>36</v>
      </c>
      <c r="C50" s="39" t="s">
        <v>167</v>
      </c>
      <c r="D50" s="39" t="s">
        <v>145</v>
      </c>
      <c r="E50" s="40" t="s">
        <v>146</v>
      </c>
      <c r="F50" s="39" t="s">
        <v>41</v>
      </c>
      <c r="G50" s="39" t="s">
        <v>168</v>
      </c>
      <c r="H50" s="41">
        <v>168</v>
      </c>
      <c r="I50" s="36">
        <f t="shared" si="1"/>
        <v>672000</v>
      </c>
      <c r="J50" s="37">
        <f t="shared" si="2"/>
        <v>8.4</v>
      </c>
      <c r="K50" s="37">
        <f t="shared" si="3"/>
        <v>12.6</v>
      </c>
      <c r="M50" s="37">
        <f t="shared" si="4"/>
        <v>5.25</v>
      </c>
      <c r="O50" s="4">
        <f t="shared" si="5"/>
        <v>2520000</v>
      </c>
      <c r="Q50" s="4">
        <f t="shared" si="6"/>
        <v>210000</v>
      </c>
      <c r="S50" s="4">
        <f t="shared" si="7"/>
        <v>8400</v>
      </c>
      <c r="U50" s="4">
        <f t="shared" si="10"/>
        <v>30240</v>
      </c>
      <c r="W50" s="4">
        <f t="shared" si="8"/>
        <v>2520</v>
      </c>
      <c r="Y50" s="4">
        <f t="shared" si="9"/>
        <v>2625</v>
      </c>
    </row>
    <row r="51" spans="1:25" hidden="1" outlineLevel="2" x14ac:dyDescent="0.35">
      <c r="A51" s="38" t="s">
        <v>169</v>
      </c>
      <c r="B51" s="39" t="s">
        <v>36</v>
      </c>
      <c r="C51" s="39" t="s">
        <v>170</v>
      </c>
      <c r="D51" s="39" t="s">
        <v>171</v>
      </c>
      <c r="E51" s="40" t="s">
        <v>91</v>
      </c>
      <c r="F51" s="39" t="s">
        <v>41</v>
      </c>
      <c r="G51" s="39" t="s">
        <v>42</v>
      </c>
      <c r="H51" s="41">
        <v>164</v>
      </c>
      <c r="I51" s="36">
        <f t="shared" ref="I51:I82" si="11">$E$7*H51</f>
        <v>656000</v>
      </c>
      <c r="J51" s="37">
        <f t="shared" ref="J51:J82" si="12">H51*$F$7</f>
        <v>8.2000000000000011</v>
      </c>
      <c r="K51" s="37">
        <f t="shared" ref="K51:K82" si="13">H51*$G$7</f>
        <v>12.299999999999999</v>
      </c>
      <c r="M51" s="37">
        <f t="shared" si="4"/>
        <v>5.125</v>
      </c>
      <c r="O51" s="4">
        <f t="shared" si="5"/>
        <v>2460000</v>
      </c>
      <c r="Q51" s="4">
        <f t="shared" si="6"/>
        <v>205000</v>
      </c>
      <c r="S51" s="4">
        <f t="shared" si="7"/>
        <v>8200</v>
      </c>
      <c r="U51" s="4">
        <f t="shared" si="10"/>
        <v>29520</v>
      </c>
      <c r="W51" s="4">
        <f t="shared" si="8"/>
        <v>2460</v>
      </c>
      <c r="Y51" s="4">
        <f t="shared" si="9"/>
        <v>2562.5</v>
      </c>
    </row>
    <row r="52" spans="1:25" hidden="1" outlineLevel="2" x14ac:dyDescent="0.35">
      <c r="A52" s="38" t="s">
        <v>172</v>
      </c>
      <c r="B52" s="39" t="s">
        <v>36</v>
      </c>
      <c r="C52" s="39" t="s">
        <v>173</v>
      </c>
      <c r="D52" s="39" t="s">
        <v>174</v>
      </c>
      <c r="E52" s="40" t="s">
        <v>78</v>
      </c>
      <c r="F52" s="39" t="s">
        <v>41</v>
      </c>
      <c r="G52" s="39" t="s">
        <v>175</v>
      </c>
      <c r="H52" s="41">
        <v>162</v>
      </c>
      <c r="I52" s="36">
        <f t="shared" si="11"/>
        <v>648000</v>
      </c>
      <c r="J52" s="37">
        <f t="shared" si="12"/>
        <v>8.1</v>
      </c>
      <c r="K52" s="37">
        <f t="shared" si="13"/>
        <v>12.15</v>
      </c>
      <c r="M52" s="37">
        <f t="shared" si="4"/>
        <v>5.0625</v>
      </c>
      <c r="O52" s="4">
        <f t="shared" si="5"/>
        <v>2430000</v>
      </c>
      <c r="Q52" s="4">
        <f t="shared" si="6"/>
        <v>202500</v>
      </c>
      <c r="S52" s="4">
        <f t="shared" si="7"/>
        <v>8100</v>
      </c>
      <c r="U52" s="4">
        <f t="shared" si="10"/>
        <v>29160</v>
      </c>
      <c r="W52" s="4">
        <f t="shared" si="8"/>
        <v>2430</v>
      </c>
      <c r="Y52" s="4">
        <f t="shared" si="9"/>
        <v>2531.25</v>
      </c>
    </row>
    <row r="53" spans="1:25" hidden="1" outlineLevel="2" x14ac:dyDescent="0.35">
      <c r="A53" s="38" t="s">
        <v>176</v>
      </c>
      <c r="B53" s="39" t="s">
        <v>36</v>
      </c>
      <c r="C53" s="39" t="s">
        <v>177</v>
      </c>
      <c r="D53" s="39" t="s">
        <v>178</v>
      </c>
      <c r="E53" s="40" t="s">
        <v>161</v>
      </c>
      <c r="F53" s="39" t="s">
        <v>101</v>
      </c>
      <c r="G53" s="39" t="s">
        <v>42</v>
      </c>
      <c r="H53" s="41">
        <v>160</v>
      </c>
      <c r="I53" s="36">
        <f t="shared" si="11"/>
        <v>640000</v>
      </c>
      <c r="J53" s="37">
        <f t="shared" si="12"/>
        <v>8</v>
      </c>
      <c r="K53" s="37">
        <f t="shared" si="13"/>
        <v>12</v>
      </c>
      <c r="M53" s="37">
        <f t="shared" si="4"/>
        <v>5</v>
      </c>
      <c r="O53" s="4">
        <f t="shared" si="5"/>
        <v>2400000</v>
      </c>
      <c r="Q53" s="4">
        <f t="shared" si="6"/>
        <v>200000</v>
      </c>
      <c r="S53" s="4">
        <f t="shared" si="7"/>
        <v>8000</v>
      </c>
      <c r="U53" s="4">
        <f t="shared" si="10"/>
        <v>28800</v>
      </c>
      <c r="W53" s="4">
        <f t="shared" si="8"/>
        <v>2400</v>
      </c>
      <c r="Y53" s="4">
        <f t="shared" si="9"/>
        <v>2500</v>
      </c>
    </row>
    <row r="54" spans="1:25" hidden="1" outlineLevel="2" x14ac:dyDescent="0.35">
      <c r="A54" s="38" t="s">
        <v>179</v>
      </c>
      <c r="B54" s="39" t="s">
        <v>36</v>
      </c>
      <c r="C54" s="39" t="s">
        <v>180</v>
      </c>
      <c r="D54" s="39" t="s">
        <v>181</v>
      </c>
      <c r="E54" s="40" t="s">
        <v>161</v>
      </c>
      <c r="F54" s="39" t="s">
        <v>101</v>
      </c>
      <c r="G54" s="39" t="s">
        <v>182</v>
      </c>
      <c r="H54" s="41">
        <v>157</v>
      </c>
      <c r="I54" s="36">
        <f t="shared" si="11"/>
        <v>628000</v>
      </c>
      <c r="J54" s="37">
        <f t="shared" si="12"/>
        <v>7.8500000000000005</v>
      </c>
      <c r="K54" s="37">
        <f t="shared" si="13"/>
        <v>11.775</v>
      </c>
      <c r="M54" s="37">
        <f t="shared" si="4"/>
        <v>4.90625</v>
      </c>
      <c r="O54" s="4">
        <f t="shared" si="5"/>
        <v>2355000</v>
      </c>
      <c r="Q54" s="4">
        <f t="shared" si="6"/>
        <v>196250</v>
      </c>
      <c r="S54" s="4">
        <f t="shared" si="7"/>
        <v>7850</v>
      </c>
      <c r="U54" s="4">
        <f t="shared" si="10"/>
        <v>28260</v>
      </c>
      <c r="W54" s="4">
        <f t="shared" si="8"/>
        <v>2355</v>
      </c>
      <c r="Y54" s="4">
        <f t="shared" si="9"/>
        <v>2453.125</v>
      </c>
    </row>
    <row r="55" spans="1:25" hidden="1" outlineLevel="2" x14ac:dyDescent="0.35">
      <c r="A55" s="38" t="s">
        <v>183</v>
      </c>
      <c r="B55" s="39" t="s">
        <v>36</v>
      </c>
      <c r="C55" s="39" t="s">
        <v>184</v>
      </c>
      <c r="D55" s="39" t="s">
        <v>185</v>
      </c>
      <c r="E55" s="40" t="s">
        <v>186</v>
      </c>
      <c r="F55" s="39" t="s">
        <v>41</v>
      </c>
      <c r="G55" s="39" t="s">
        <v>187</v>
      </c>
      <c r="H55" s="41">
        <v>151</v>
      </c>
      <c r="I55" s="36">
        <f t="shared" si="11"/>
        <v>604000</v>
      </c>
      <c r="J55" s="37">
        <f t="shared" si="12"/>
        <v>7.5500000000000007</v>
      </c>
      <c r="K55" s="37">
        <f t="shared" si="13"/>
        <v>11.324999999999999</v>
      </c>
      <c r="M55" s="37">
        <f t="shared" si="4"/>
        <v>4.71875</v>
      </c>
      <c r="O55" s="4">
        <f t="shared" si="5"/>
        <v>2265000</v>
      </c>
      <c r="Q55" s="4">
        <f t="shared" si="6"/>
        <v>188750</v>
      </c>
      <c r="S55" s="4">
        <f t="shared" si="7"/>
        <v>7550</v>
      </c>
      <c r="U55" s="4">
        <f t="shared" si="10"/>
        <v>27180</v>
      </c>
      <c r="W55" s="4">
        <f t="shared" si="8"/>
        <v>2265</v>
      </c>
      <c r="Y55" s="4">
        <f t="shared" si="9"/>
        <v>2359.375</v>
      </c>
    </row>
    <row r="56" spans="1:25" hidden="1" outlineLevel="2" x14ac:dyDescent="0.35">
      <c r="A56" s="38" t="s">
        <v>188</v>
      </c>
      <c r="B56" s="39" t="s">
        <v>36</v>
      </c>
      <c r="C56" s="39" t="s">
        <v>189</v>
      </c>
      <c r="D56" s="39" t="s">
        <v>190</v>
      </c>
      <c r="E56" s="40" t="s">
        <v>191</v>
      </c>
      <c r="F56" s="39" t="s">
        <v>41</v>
      </c>
      <c r="G56" s="39" t="s">
        <v>192</v>
      </c>
      <c r="H56" s="41">
        <v>141</v>
      </c>
      <c r="I56" s="36">
        <f t="shared" si="11"/>
        <v>564000</v>
      </c>
      <c r="J56" s="37">
        <f t="shared" si="12"/>
        <v>7.0500000000000007</v>
      </c>
      <c r="K56" s="37">
        <f t="shared" si="13"/>
        <v>10.574999999999999</v>
      </c>
      <c r="M56" s="37">
        <f t="shared" si="4"/>
        <v>4.40625</v>
      </c>
      <c r="O56" s="4">
        <f t="shared" si="5"/>
        <v>2115000</v>
      </c>
      <c r="Q56" s="4">
        <f t="shared" si="6"/>
        <v>176250</v>
      </c>
      <c r="S56" s="4">
        <f t="shared" si="7"/>
        <v>7050</v>
      </c>
      <c r="U56" s="4">
        <f t="shared" si="10"/>
        <v>25380</v>
      </c>
      <c r="W56" s="4">
        <f t="shared" si="8"/>
        <v>2115</v>
      </c>
      <c r="Y56" s="4">
        <f t="shared" si="9"/>
        <v>2203.125</v>
      </c>
    </row>
    <row r="57" spans="1:25" hidden="1" outlineLevel="2" x14ac:dyDescent="0.35">
      <c r="A57" s="38" t="s">
        <v>193</v>
      </c>
      <c r="B57" s="39" t="s">
        <v>36</v>
      </c>
      <c r="C57" s="39" t="s">
        <v>194</v>
      </c>
      <c r="D57" s="39" t="s">
        <v>195</v>
      </c>
      <c r="E57" s="40" t="s">
        <v>196</v>
      </c>
      <c r="F57" s="39" t="s">
        <v>41</v>
      </c>
      <c r="G57" s="39" t="s">
        <v>62</v>
      </c>
      <c r="H57" s="41">
        <v>137</v>
      </c>
      <c r="I57" s="36">
        <f t="shared" si="11"/>
        <v>548000</v>
      </c>
      <c r="J57" s="37">
        <f t="shared" si="12"/>
        <v>6.8500000000000005</v>
      </c>
      <c r="K57" s="37">
        <f t="shared" si="13"/>
        <v>10.275</v>
      </c>
      <c r="M57" s="37">
        <f t="shared" si="4"/>
        <v>4.28125</v>
      </c>
      <c r="O57" s="4">
        <f t="shared" si="5"/>
        <v>2055000</v>
      </c>
      <c r="Q57" s="4">
        <f t="shared" si="6"/>
        <v>171250</v>
      </c>
      <c r="S57" s="4">
        <f t="shared" si="7"/>
        <v>6850</v>
      </c>
      <c r="U57" s="4">
        <f t="shared" si="10"/>
        <v>24660</v>
      </c>
      <c r="W57" s="4">
        <f t="shared" si="8"/>
        <v>2055</v>
      </c>
      <c r="Y57" s="4">
        <f t="shared" si="9"/>
        <v>2140.625</v>
      </c>
    </row>
    <row r="58" spans="1:25" hidden="1" outlineLevel="2" x14ac:dyDescent="0.35">
      <c r="A58" s="38" t="s">
        <v>197</v>
      </c>
      <c r="B58" s="39" t="s">
        <v>36</v>
      </c>
      <c r="C58" s="39" t="s">
        <v>198</v>
      </c>
      <c r="D58" s="39" t="s">
        <v>199</v>
      </c>
      <c r="E58" s="40" t="s">
        <v>200</v>
      </c>
      <c r="F58" s="39" t="s">
        <v>41</v>
      </c>
      <c r="G58" s="39" t="s">
        <v>42</v>
      </c>
      <c r="H58" s="41">
        <v>135</v>
      </c>
      <c r="I58" s="36">
        <f t="shared" si="11"/>
        <v>540000</v>
      </c>
      <c r="J58" s="37">
        <f t="shared" si="12"/>
        <v>6.75</v>
      </c>
      <c r="K58" s="37">
        <f t="shared" si="13"/>
        <v>10.125</v>
      </c>
      <c r="M58" s="37">
        <f t="shared" si="4"/>
        <v>4.21875</v>
      </c>
      <c r="O58" s="4">
        <f t="shared" si="5"/>
        <v>2025000</v>
      </c>
      <c r="Q58" s="4">
        <f t="shared" si="6"/>
        <v>168750</v>
      </c>
      <c r="S58" s="4">
        <f t="shared" si="7"/>
        <v>6750</v>
      </c>
      <c r="U58" s="4">
        <f t="shared" si="10"/>
        <v>24300</v>
      </c>
      <c r="W58" s="4">
        <f t="shared" si="8"/>
        <v>2025</v>
      </c>
      <c r="Y58" s="4">
        <f t="shared" si="9"/>
        <v>2109.375</v>
      </c>
    </row>
    <row r="59" spans="1:25" hidden="1" outlineLevel="2" x14ac:dyDescent="0.35">
      <c r="A59" s="38" t="s">
        <v>201</v>
      </c>
      <c r="B59" s="39" t="s">
        <v>36</v>
      </c>
      <c r="C59" s="39" t="s">
        <v>202</v>
      </c>
      <c r="D59" s="39" t="s">
        <v>203</v>
      </c>
      <c r="E59" s="40" t="s">
        <v>114</v>
      </c>
      <c r="F59" s="39" t="s">
        <v>41</v>
      </c>
      <c r="G59" s="39" t="s">
        <v>62</v>
      </c>
      <c r="H59" s="41">
        <v>121</v>
      </c>
      <c r="I59" s="36">
        <f t="shared" si="11"/>
        <v>484000</v>
      </c>
      <c r="J59" s="37">
        <f t="shared" si="12"/>
        <v>6.0500000000000007</v>
      </c>
      <c r="K59" s="37">
        <f t="shared" si="13"/>
        <v>9.0749999999999993</v>
      </c>
      <c r="M59" s="37">
        <f t="shared" si="4"/>
        <v>3.78125</v>
      </c>
      <c r="O59" s="4">
        <f t="shared" si="5"/>
        <v>1815000</v>
      </c>
      <c r="Q59" s="4">
        <f t="shared" si="6"/>
        <v>151250</v>
      </c>
      <c r="S59" s="4">
        <f t="shared" si="7"/>
        <v>6050</v>
      </c>
      <c r="U59" s="4">
        <f t="shared" si="10"/>
        <v>21780</v>
      </c>
      <c r="W59" s="4">
        <f t="shared" si="8"/>
        <v>1815</v>
      </c>
      <c r="Y59" s="4">
        <f t="shared" si="9"/>
        <v>1890.625</v>
      </c>
    </row>
    <row r="60" spans="1:25" hidden="1" outlineLevel="2" x14ac:dyDescent="0.35">
      <c r="A60" s="38" t="s">
        <v>204</v>
      </c>
      <c r="B60" s="39" t="s">
        <v>36</v>
      </c>
      <c r="C60" s="39" t="s">
        <v>205</v>
      </c>
      <c r="D60" s="39" t="s">
        <v>206</v>
      </c>
      <c r="E60" s="40" t="s">
        <v>146</v>
      </c>
      <c r="F60" s="39" t="s">
        <v>41</v>
      </c>
      <c r="G60" s="39" t="s">
        <v>207</v>
      </c>
      <c r="H60" s="41">
        <v>119</v>
      </c>
      <c r="I60" s="36">
        <f t="shared" si="11"/>
        <v>476000</v>
      </c>
      <c r="J60" s="37">
        <f t="shared" si="12"/>
        <v>5.95</v>
      </c>
      <c r="K60" s="37">
        <f t="shared" si="13"/>
        <v>8.9249999999999989</v>
      </c>
      <c r="M60" s="37">
        <f t="shared" si="4"/>
        <v>3.71875</v>
      </c>
      <c r="O60" s="4">
        <f t="shared" si="5"/>
        <v>1785000</v>
      </c>
      <c r="Q60" s="4">
        <f t="shared" si="6"/>
        <v>148750</v>
      </c>
      <c r="S60" s="4">
        <f t="shared" si="7"/>
        <v>5950</v>
      </c>
      <c r="U60" s="4">
        <f t="shared" si="10"/>
        <v>21420</v>
      </c>
      <c r="W60" s="4">
        <f t="shared" si="8"/>
        <v>1785</v>
      </c>
      <c r="Y60" s="4">
        <f t="shared" si="9"/>
        <v>1859.375</v>
      </c>
    </row>
    <row r="61" spans="1:25" hidden="1" outlineLevel="2" x14ac:dyDescent="0.35">
      <c r="A61" s="38" t="s">
        <v>208</v>
      </c>
      <c r="B61" s="39" t="s">
        <v>36</v>
      </c>
      <c r="C61" s="39" t="s">
        <v>209</v>
      </c>
      <c r="D61" s="39" t="s">
        <v>210</v>
      </c>
      <c r="E61" s="40" t="s">
        <v>211</v>
      </c>
      <c r="F61" s="39" t="s">
        <v>41</v>
      </c>
      <c r="G61" s="39" t="s">
        <v>212</v>
      </c>
      <c r="H61" s="41">
        <v>113</v>
      </c>
      <c r="I61" s="36">
        <f t="shared" si="11"/>
        <v>452000</v>
      </c>
      <c r="J61" s="37">
        <f t="shared" si="12"/>
        <v>5.65</v>
      </c>
      <c r="K61" s="37">
        <f t="shared" si="13"/>
        <v>8.4749999999999996</v>
      </c>
      <c r="M61" s="37">
        <f t="shared" si="4"/>
        <v>3.53125</v>
      </c>
      <c r="O61" s="4">
        <f t="shared" si="5"/>
        <v>1695000</v>
      </c>
      <c r="Q61" s="4">
        <f t="shared" si="6"/>
        <v>141250</v>
      </c>
      <c r="S61" s="4">
        <f t="shared" si="7"/>
        <v>5650</v>
      </c>
      <c r="U61" s="4">
        <f t="shared" si="10"/>
        <v>20340</v>
      </c>
      <c r="W61" s="4">
        <f t="shared" si="8"/>
        <v>1695</v>
      </c>
      <c r="Y61" s="4">
        <f t="shared" si="9"/>
        <v>1765.625</v>
      </c>
    </row>
    <row r="62" spans="1:25" hidden="1" outlineLevel="2" x14ac:dyDescent="0.35">
      <c r="A62" s="38" t="s">
        <v>213</v>
      </c>
      <c r="B62" s="39" t="s">
        <v>36</v>
      </c>
      <c r="C62" s="39" t="s">
        <v>214</v>
      </c>
      <c r="D62" s="39" t="s">
        <v>50</v>
      </c>
      <c r="E62" s="40" t="s">
        <v>51</v>
      </c>
      <c r="F62" s="39" t="s">
        <v>41</v>
      </c>
      <c r="G62" s="39" t="s">
        <v>215</v>
      </c>
      <c r="H62" s="41">
        <v>110</v>
      </c>
      <c r="I62" s="36">
        <f t="shared" si="11"/>
        <v>440000</v>
      </c>
      <c r="J62" s="37">
        <f t="shared" si="12"/>
        <v>5.5</v>
      </c>
      <c r="K62" s="37">
        <f t="shared" si="13"/>
        <v>8.25</v>
      </c>
      <c r="M62" s="37">
        <f t="shared" si="4"/>
        <v>3.4375</v>
      </c>
      <c r="O62" s="4">
        <f t="shared" si="5"/>
        <v>1650000</v>
      </c>
      <c r="Q62" s="4">
        <f t="shared" si="6"/>
        <v>137500</v>
      </c>
      <c r="S62" s="4">
        <f t="shared" si="7"/>
        <v>5500</v>
      </c>
      <c r="U62" s="4">
        <f t="shared" si="10"/>
        <v>19800</v>
      </c>
      <c r="W62" s="4">
        <f t="shared" si="8"/>
        <v>1650</v>
      </c>
      <c r="Y62" s="4">
        <f t="shared" si="9"/>
        <v>1718.75</v>
      </c>
    </row>
    <row r="63" spans="1:25" hidden="1" outlineLevel="2" x14ac:dyDescent="0.35">
      <c r="A63" s="38" t="s">
        <v>216</v>
      </c>
      <c r="B63" s="39" t="s">
        <v>36</v>
      </c>
      <c r="C63" s="39" t="s">
        <v>217</v>
      </c>
      <c r="D63" s="39" t="s">
        <v>218</v>
      </c>
      <c r="E63" s="40" t="s">
        <v>114</v>
      </c>
      <c r="F63" s="39" t="s">
        <v>41</v>
      </c>
      <c r="G63" s="39" t="s">
        <v>62</v>
      </c>
      <c r="H63" s="41">
        <v>100</v>
      </c>
      <c r="I63" s="36">
        <f t="shared" si="11"/>
        <v>400000</v>
      </c>
      <c r="J63" s="37">
        <f t="shared" si="12"/>
        <v>5</v>
      </c>
      <c r="K63" s="37">
        <f t="shared" si="13"/>
        <v>7.5</v>
      </c>
      <c r="M63" s="37">
        <f t="shared" si="4"/>
        <v>3.125</v>
      </c>
      <c r="O63" s="4">
        <f t="shared" si="5"/>
        <v>1500000</v>
      </c>
      <c r="Q63" s="4">
        <f t="shared" si="6"/>
        <v>125000</v>
      </c>
      <c r="S63" s="4">
        <f t="shared" si="7"/>
        <v>5000</v>
      </c>
      <c r="U63" s="4">
        <f t="shared" si="10"/>
        <v>18000</v>
      </c>
      <c r="W63" s="4">
        <f t="shared" si="8"/>
        <v>1500</v>
      </c>
      <c r="Y63" s="4">
        <f t="shared" si="9"/>
        <v>1562.5</v>
      </c>
    </row>
    <row r="64" spans="1:25" hidden="1" outlineLevel="2" x14ac:dyDescent="0.35">
      <c r="A64" s="38" t="s">
        <v>219</v>
      </c>
      <c r="B64" s="39" t="s">
        <v>36</v>
      </c>
      <c r="C64" s="39" t="s">
        <v>220</v>
      </c>
      <c r="D64" s="39" t="s">
        <v>221</v>
      </c>
      <c r="E64" s="40" t="s">
        <v>222</v>
      </c>
      <c r="F64" s="39" t="s">
        <v>41</v>
      </c>
      <c r="G64" s="39" t="s">
        <v>62</v>
      </c>
      <c r="H64" s="41">
        <v>100</v>
      </c>
      <c r="I64" s="36">
        <f t="shared" si="11"/>
        <v>400000</v>
      </c>
      <c r="J64" s="37">
        <f t="shared" si="12"/>
        <v>5</v>
      </c>
      <c r="K64" s="37">
        <f t="shared" si="13"/>
        <v>7.5</v>
      </c>
      <c r="M64" s="37">
        <f t="shared" si="4"/>
        <v>3.125</v>
      </c>
      <c r="O64" s="4">
        <f t="shared" si="5"/>
        <v>1500000</v>
      </c>
      <c r="Q64" s="4">
        <f t="shared" si="6"/>
        <v>125000</v>
      </c>
      <c r="S64" s="4">
        <f t="shared" si="7"/>
        <v>5000</v>
      </c>
      <c r="U64" s="4">
        <f t="shared" si="10"/>
        <v>18000</v>
      </c>
      <c r="W64" s="4">
        <f t="shared" si="8"/>
        <v>1500</v>
      </c>
      <c r="Y64" s="4">
        <f t="shared" si="9"/>
        <v>1562.5</v>
      </c>
    </row>
    <row r="65" spans="1:25" hidden="1" outlineLevel="2" x14ac:dyDescent="0.35">
      <c r="A65" s="38" t="s">
        <v>223</v>
      </c>
      <c r="B65" s="39" t="s">
        <v>36</v>
      </c>
      <c r="C65" s="39" t="s">
        <v>224</v>
      </c>
      <c r="D65" s="39" t="s">
        <v>225</v>
      </c>
      <c r="E65" s="40" t="s">
        <v>226</v>
      </c>
      <c r="F65" s="39" t="s">
        <v>41</v>
      </c>
      <c r="G65" s="39" t="s">
        <v>62</v>
      </c>
      <c r="H65" s="41">
        <v>98</v>
      </c>
      <c r="I65" s="36">
        <f t="shared" si="11"/>
        <v>392000</v>
      </c>
      <c r="J65" s="37">
        <f t="shared" si="12"/>
        <v>4.9000000000000004</v>
      </c>
      <c r="K65" s="37">
        <f t="shared" si="13"/>
        <v>7.35</v>
      </c>
      <c r="M65" s="37">
        <f t="shared" si="4"/>
        <v>3.0625</v>
      </c>
      <c r="O65" s="4">
        <f t="shared" si="5"/>
        <v>1470000</v>
      </c>
      <c r="Q65" s="4">
        <f t="shared" si="6"/>
        <v>122500</v>
      </c>
      <c r="S65" s="4">
        <f t="shared" si="7"/>
        <v>4900</v>
      </c>
      <c r="U65" s="4">
        <f t="shared" si="10"/>
        <v>17640</v>
      </c>
      <c r="W65" s="4">
        <f t="shared" si="8"/>
        <v>1470</v>
      </c>
      <c r="Y65" s="4">
        <f t="shared" si="9"/>
        <v>1531.25</v>
      </c>
    </row>
    <row r="66" spans="1:25" hidden="1" outlineLevel="2" x14ac:dyDescent="0.35">
      <c r="A66" s="38" t="s">
        <v>227</v>
      </c>
      <c r="B66" s="39" t="s">
        <v>36</v>
      </c>
      <c r="C66" s="39" t="s">
        <v>228</v>
      </c>
      <c r="D66" s="39" t="s">
        <v>229</v>
      </c>
      <c r="E66" s="40" t="s">
        <v>230</v>
      </c>
      <c r="F66" s="39" t="s">
        <v>41</v>
      </c>
      <c r="G66" s="39" t="s">
        <v>231</v>
      </c>
      <c r="H66" s="41">
        <v>90</v>
      </c>
      <c r="I66" s="36">
        <f t="shared" si="11"/>
        <v>360000</v>
      </c>
      <c r="J66" s="37">
        <f t="shared" si="12"/>
        <v>4.5</v>
      </c>
      <c r="K66" s="37">
        <f t="shared" si="13"/>
        <v>6.75</v>
      </c>
      <c r="M66" s="37">
        <f t="shared" si="4"/>
        <v>2.8125</v>
      </c>
      <c r="O66" s="4">
        <f t="shared" si="5"/>
        <v>1350000</v>
      </c>
      <c r="Q66" s="4">
        <f t="shared" si="6"/>
        <v>112500</v>
      </c>
      <c r="S66" s="4">
        <f t="shared" si="7"/>
        <v>4500</v>
      </c>
      <c r="U66" s="4">
        <f t="shared" si="10"/>
        <v>16200</v>
      </c>
      <c r="W66" s="4">
        <f t="shared" si="8"/>
        <v>1350</v>
      </c>
      <c r="Y66" s="4">
        <f t="shared" si="9"/>
        <v>1406.25</v>
      </c>
    </row>
    <row r="67" spans="1:25" hidden="1" outlineLevel="2" x14ac:dyDescent="0.35">
      <c r="A67" s="38" t="s">
        <v>232</v>
      </c>
      <c r="B67" s="39" t="s">
        <v>36</v>
      </c>
      <c r="C67" s="39" t="s">
        <v>233</v>
      </c>
      <c r="D67" s="39" t="s">
        <v>145</v>
      </c>
      <c r="E67" s="40" t="s">
        <v>146</v>
      </c>
      <c r="F67" s="39" t="s">
        <v>41</v>
      </c>
      <c r="G67" s="39" t="s">
        <v>234</v>
      </c>
      <c r="H67" s="41">
        <v>87</v>
      </c>
      <c r="I67" s="36">
        <f t="shared" si="11"/>
        <v>348000</v>
      </c>
      <c r="J67" s="37">
        <f t="shared" si="12"/>
        <v>4.3500000000000005</v>
      </c>
      <c r="K67" s="37">
        <f t="shared" si="13"/>
        <v>6.5249999999999995</v>
      </c>
      <c r="M67" s="37">
        <f t="shared" si="4"/>
        <v>2.71875</v>
      </c>
      <c r="O67" s="4">
        <f t="shared" si="5"/>
        <v>1305000</v>
      </c>
      <c r="Q67" s="4">
        <f t="shared" si="6"/>
        <v>108750</v>
      </c>
      <c r="S67" s="4">
        <f t="shared" si="7"/>
        <v>4350</v>
      </c>
      <c r="U67" s="4">
        <f t="shared" si="10"/>
        <v>15660</v>
      </c>
      <c r="W67" s="4">
        <f t="shared" si="8"/>
        <v>1305</v>
      </c>
      <c r="Y67" s="4">
        <f t="shared" si="9"/>
        <v>1359.375</v>
      </c>
    </row>
    <row r="68" spans="1:25" hidden="1" outlineLevel="2" x14ac:dyDescent="0.35">
      <c r="A68" s="38" t="s">
        <v>235</v>
      </c>
      <c r="B68" s="39" t="s">
        <v>36</v>
      </c>
      <c r="C68" s="39" t="s">
        <v>236</v>
      </c>
      <c r="D68" s="39" t="s">
        <v>237</v>
      </c>
      <c r="E68" s="40" t="s">
        <v>238</v>
      </c>
      <c r="F68" s="39" t="s">
        <v>41</v>
      </c>
      <c r="G68" s="39" t="s">
        <v>239</v>
      </c>
      <c r="H68" s="41">
        <v>79</v>
      </c>
      <c r="I68" s="36">
        <f t="shared" si="11"/>
        <v>316000</v>
      </c>
      <c r="J68" s="37">
        <f t="shared" si="12"/>
        <v>3.95</v>
      </c>
      <c r="K68" s="37">
        <f t="shared" si="13"/>
        <v>5.9249999999999998</v>
      </c>
      <c r="M68" s="37">
        <f t="shared" si="4"/>
        <v>2.46875</v>
      </c>
      <c r="O68" s="4">
        <f t="shared" si="5"/>
        <v>1185000</v>
      </c>
      <c r="Q68" s="4">
        <f t="shared" si="6"/>
        <v>98750</v>
      </c>
      <c r="S68" s="4">
        <f t="shared" si="7"/>
        <v>3950</v>
      </c>
      <c r="U68" s="4">
        <f t="shared" si="10"/>
        <v>14220</v>
      </c>
      <c r="W68" s="4">
        <f t="shared" si="8"/>
        <v>1185</v>
      </c>
      <c r="Y68" s="4">
        <f t="shared" si="9"/>
        <v>1234.375</v>
      </c>
    </row>
    <row r="69" spans="1:25" hidden="1" outlineLevel="2" x14ac:dyDescent="0.35">
      <c r="A69" s="38" t="s">
        <v>240</v>
      </c>
      <c r="B69" s="39" t="s">
        <v>36</v>
      </c>
      <c r="C69" s="39" t="s">
        <v>241</v>
      </c>
      <c r="D69" s="39" t="s">
        <v>145</v>
      </c>
      <c r="E69" s="40" t="s">
        <v>146</v>
      </c>
      <c r="F69" s="39" t="s">
        <v>41</v>
      </c>
      <c r="G69" s="39" t="s">
        <v>242</v>
      </c>
      <c r="H69" s="41">
        <v>72</v>
      </c>
      <c r="I69" s="36">
        <f t="shared" si="11"/>
        <v>288000</v>
      </c>
      <c r="J69" s="37">
        <f t="shared" si="12"/>
        <v>3.6</v>
      </c>
      <c r="K69" s="37">
        <f t="shared" si="13"/>
        <v>5.3999999999999995</v>
      </c>
      <c r="M69" s="37">
        <f t="shared" si="4"/>
        <v>2.25</v>
      </c>
      <c r="O69" s="4">
        <f t="shared" si="5"/>
        <v>1080000</v>
      </c>
      <c r="Q69" s="4">
        <f t="shared" si="6"/>
        <v>90000</v>
      </c>
      <c r="S69" s="4">
        <f t="shared" si="7"/>
        <v>3600</v>
      </c>
      <c r="U69" s="4">
        <f t="shared" si="10"/>
        <v>12960</v>
      </c>
      <c r="W69" s="4">
        <f t="shared" si="8"/>
        <v>1080</v>
      </c>
      <c r="Y69" s="4">
        <f t="shared" si="9"/>
        <v>1125</v>
      </c>
    </row>
    <row r="70" spans="1:25" hidden="1" outlineLevel="2" x14ac:dyDescent="0.35">
      <c r="A70" s="38" t="s">
        <v>243</v>
      </c>
      <c r="B70" s="39" t="s">
        <v>36</v>
      </c>
      <c r="C70" s="39" t="s">
        <v>244</v>
      </c>
      <c r="D70" s="39" t="s">
        <v>245</v>
      </c>
      <c r="E70" s="40" t="s">
        <v>246</v>
      </c>
      <c r="F70" s="39" t="s">
        <v>41</v>
      </c>
      <c r="G70" s="39" t="s">
        <v>247</v>
      </c>
      <c r="H70" s="41">
        <v>71</v>
      </c>
      <c r="I70" s="36">
        <f t="shared" si="11"/>
        <v>284000</v>
      </c>
      <c r="J70" s="37">
        <f t="shared" si="12"/>
        <v>3.5500000000000003</v>
      </c>
      <c r="K70" s="37">
        <f t="shared" si="13"/>
        <v>5.3250000000000002</v>
      </c>
      <c r="M70" s="37">
        <f t="shared" si="4"/>
        <v>2.21875</v>
      </c>
      <c r="O70" s="4">
        <f t="shared" si="5"/>
        <v>1065000</v>
      </c>
      <c r="Q70" s="4">
        <f t="shared" si="6"/>
        <v>88750</v>
      </c>
      <c r="S70" s="4">
        <f t="shared" si="7"/>
        <v>3550</v>
      </c>
      <c r="U70" s="4">
        <f t="shared" si="10"/>
        <v>12780</v>
      </c>
      <c r="W70" s="4">
        <f t="shared" si="8"/>
        <v>1065</v>
      </c>
      <c r="Y70" s="4">
        <f t="shared" si="9"/>
        <v>1109.375</v>
      </c>
    </row>
    <row r="71" spans="1:25" hidden="1" outlineLevel="2" x14ac:dyDescent="0.35">
      <c r="A71" s="38" t="s">
        <v>248</v>
      </c>
      <c r="B71" s="39" t="s">
        <v>36</v>
      </c>
      <c r="C71" s="39" t="s">
        <v>249</v>
      </c>
      <c r="D71" s="39" t="s">
        <v>250</v>
      </c>
      <c r="E71" s="40" t="s">
        <v>251</v>
      </c>
      <c r="F71" s="39" t="s">
        <v>41</v>
      </c>
      <c r="G71" s="39" t="s">
        <v>42</v>
      </c>
      <c r="H71" s="41">
        <v>71</v>
      </c>
      <c r="I71" s="36">
        <f t="shared" si="11"/>
        <v>284000</v>
      </c>
      <c r="J71" s="37">
        <f t="shared" si="12"/>
        <v>3.5500000000000003</v>
      </c>
      <c r="K71" s="37">
        <f t="shared" si="13"/>
        <v>5.3250000000000002</v>
      </c>
      <c r="M71" s="37">
        <f t="shared" si="4"/>
        <v>2.21875</v>
      </c>
      <c r="O71" s="4">
        <f t="shared" si="5"/>
        <v>1065000</v>
      </c>
      <c r="Q71" s="4">
        <f t="shared" si="6"/>
        <v>88750</v>
      </c>
      <c r="S71" s="4">
        <f t="shared" si="7"/>
        <v>3550</v>
      </c>
      <c r="U71" s="4">
        <f t="shared" si="10"/>
        <v>12780</v>
      </c>
      <c r="W71" s="4">
        <f t="shared" si="8"/>
        <v>1065</v>
      </c>
      <c r="Y71" s="4">
        <f t="shared" si="9"/>
        <v>1109.375</v>
      </c>
    </row>
    <row r="72" spans="1:25" hidden="1" outlineLevel="2" x14ac:dyDescent="0.35">
      <c r="A72" s="38" t="s">
        <v>252</v>
      </c>
      <c r="B72" s="39" t="s">
        <v>36</v>
      </c>
      <c r="C72" s="39" t="s">
        <v>253</v>
      </c>
      <c r="D72" s="39" t="s">
        <v>254</v>
      </c>
      <c r="E72" s="40" t="s">
        <v>255</v>
      </c>
      <c r="F72" s="39" t="s">
        <v>41</v>
      </c>
      <c r="G72" s="39" t="s">
        <v>256</v>
      </c>
      <c r="H72" s="41">
        <v>69</v>
      </c>
      <c r="I72" s="36">
        <f t="shared" si="11"/>
        <v>276000</v>
      </c>
      <c r="J72" s="37">
        <f t="shared" si="12"/>
        <v>3.45</v>
      </c>
      <c r="K72" s="37">
        <f t="shared" si="13"/>
        <v>5.1749999999999998</v>
      </c>
      <c r="M72" s="37">
        <f t="shared" si="4"/>
        <v>2.15625</v>
      </c>
      <c r="O72" s="4">
        <f t="shared" si="5"/>
        <v>1035000</v>
      </c>
      <c r="Q72" s="4">
        <f t="shared" si="6"/>
        <v>86250</v>
      </c>
      <c r="S72" s="4">
        <f t="shared" si="7"/>
        <v>3450</v>
      </c>
      <c r="U72" s="4">
        <f t="shared" si="10"/>
        <v>12420</v>
      </c>
      <c r="W72" s="4">
        <f t="shared" si="8"/>
        <v>1035</v>
      </c>
      <c r="Y72" s="4">
        <f t="shared" si="9"/>
        <v>1078.125</v>
      </c>
    </row>
    <row r="73" spans="1:25" hidden="1" outlineLevel="2" x14ac:dyDescent="0.35">
      <c r="A73" s="38" t="s">
        <v>257</v>
      </c>
      <c r="B73" s="39" t="s">
        <v>36</v>
      </c>
      <c r="C73" s="39" t="s">
        <v>258</v>
      </c>
      <c r="D73" s="39" t="s">
        <v>259</v>
      </c>
      <c r="E73" s="40" t="s">
        <v>260</v>
      </c>
      <c r="F73" s="39" t="s">
        <v>41</v>
      </c>
      <c r="G73" s="39" t="s">
        <v>42</v>
      </c>
      <c r="H73" s="41">
        <v>68</v>
      </c>
      <c r="I73" s="36">
        <f t="shared" si="11"/>
        <v>272000</v>
      </c>
      <c r="J73" s="37">
        <f t="shared" si="12"/>
        <v>3.4000000000000004</v>
      </c>
      <c r="K73" s="37">
        <f t="shared" si="13"/>
        <v>5.0999999999999996</v>
      </c>
      <c r="M73" s="37">
        <f t="shared" si="4"/>
        <v>2.125</v>
      </c>
      <c r="O73" s="4">
        <f t="shared" si="5"/>
        <v>1020000</v>
      </c>
      <c r="Q73" s="4">
        <f t="shared" si="6"/>
        <v>85000</v>
      </c>
      <c r="S73" s="4">
        <f t="shared" si="7"/>
        <v>3400</v>
      </c>
      <c r="U73" s="4">
        <f t="shared" si="10"/>
        <v>12240</v>
      </c>
      <c r="W73" s="4">
        <f t="shared" si="8"/>
        <v>1020</v>
      </c>
      <c r="Y73" s="4">
        <f t="shared" si="9"/>
        <v>1062.5</v>
      </c>
    </row>
    <row r="74" spans="1:25" hidden="1" outlineLevel="2" x14ac:dyDescent="0.35">
      <c r="A74" s="38" t="s">
        <v>261</v>
      </c>
      <c r="B74" s="39" t="s">
        <v>36</v>
      </c>
      <c r="C74" s="39" t="s">
        <v>262</v>
      </c>
      <c r="D74" s="39" t="s">
        <v>263</v>
      </c>
      <c r="E74" s="40" t="s">
        <v>106</v>
      </c>
      <c r="F74" s="39" t="s">
        <v>41</v>
      </c>
      <c r="G74" s="39" t="s">
        <v>264</v>
      </c>
      <c r="H74" s="41">
        <v>68</v>
      </c>
      <c r="I74" s="36">
        <f t="shared" si="11"/>
        <v>272000</v>
      </c>
      <c r="J74" s="37">
        <f t="shared" si="12"/>
        <v>3.4000000000000004</v>
      </c>
      <c r="K74" s="37">
        <f t="shared" si="13"/>
        <v>5.0999999999999996</v>
      </c>
      <c r="M74" s="37">
        <f t="shared" si="4"/>
        <v>2.125</v>
      </c>
      <c r="O74" s="4">
        <f t="shared" si="5"/>
        <v>1020000</v>
      </c>
      <c r="Q74" s="4">
        <f t="shared" si="6"/>
        <v>85000</v>
      </c>
      <c r="S74" s="4">
        <f t="shared" si="7"/>
        <v>3400</v>
      </c>
      <c r="U74" s="4">
        <f t="shared" si="10"/>
        <v>12240</v>
      </c>
      <c r="W74" s="4">
        <f t="shared" si="8"/>
        <v>1020</v>
      </c>
      <c r="Y74" s="4">
        <f t="shared" si="9"/>
        <v>1062.5</v>
      </c>
    </row>
    <row r="75" spans="1:25" hidden="1" outlineLevel="2" x14ac:dyDescent="0.35">
      <c r="A75" s="38" t="s">
        <v>265</v>
      </c>
      <c r="B75" s="39" t="s">
        <v>36</v>
      </c>
      <c r="C75" s="39" t="s">
        <v>266</v>
      </c>
      <c r="D75" s="39" t="s">
        <v>164</v>
      </c>
      <c r="E75" s="40" t="s">
        <v>165</v>
      </c>
      <c r="F75" s="39" t="s">
        <v>41</v>
      </c>
      <c r="G75" s="39" t="s">
        <v>42</v>
      </c>
      <c r="H75" s="41">
        <v>67</v>
      </c>
      <c r="I75" s="36">
        <f t="shared" si="11"/>
        <v>268000</v>
      </c>
      <c r="J75" s="37">
        <f t="shared" si="12"/>
        <v>3.35</v>
      </c>
      <c r="K75" s="37">
        <f t="shared" si="13"/>
        <v>5.0249999999999995</v>
      </c>
      <c r="M75" s="37">
        <f t="shared" si="4"/>
        <v>2.09375</v>
      </c>
      <c r="O75" s="4">
        <f t="shared" si="5"/>
        <v>1005000</v>
      </c>
      <c r="Q75" s="4">
        <f t="shared" si="6"/>
        <v>83750</v>
      </c>
      <c r="S75" s="4">
        <f t="shared" si="7"/>
        <v>3350</v>
      </c>
      <c r="U75" s="4">
        <f t="shared" si="10"/>
        <v>12060</v>
      </c>
      <c r="W75" s="4">
        <f t="shared" si="8"/>
        <v>1005</v>
      </c>
      <c r="Y75" s="4">
        <f t="shared" si="9"/>
        <v>1046.875</v>
      </c>
    </row>
    <row r="76" spans="1:25" hidden="1" outlineLevel="2" x14ac:dyDescent="0.35">
      <c r="A76" s="38" t="s">
        <v>267</v>
      </c>
      <c r="B76" s="39" t="s">
        <v>36</v>
      </c>
      <c r="C76" s="39" t="s">
        <v>268</v>
      </c>
      <c r="D76" s="39" t="s">
        <v>113</v>
      </c>
      <c r="E76" s="40" t="s">
        <v>114</v>
      </c>
      <c r="F76" s="39" t="s">
        <v>41</v>
      </c>
      <c r="G76" s="39" t="s">
        <v>42</v>
      </c>
      <c r="H76" s="41">
        <v>64</v>
      </c>
      <c r="I76" s="36">
        <f t="shared" si="11"/>
        <v>256000</v>
      </c>
      <c r="J76" s="37">
        <f t="shared" si="12"/>
        <v>3.2</v>
      </c>
      <c r="K76" s="37">
        <f t="shared" si="13"/>
        <v>4.8</v>
      </c>
      <c r="M76" s="37">
        <f t="shared" si="4"/>
        <v>2</v>
      </c>
      <c r="O76" s="4">
        <f t="shared" si="5"/>
        <v>960000</v>
      </c>
      <c r="Q76" s="4">
        <f t="shared" si="6"/>
        <v>80000</v>
      </c>
      <c r="S76" s="4">
        <f t="shared" si="7"/>
        <v>3200</v>
      </c>
      <c r="U76" s="4">
        <f t="shared" si="10"/>
        <v>11520</v>
      </c>
      <c r="W76" s="4">
        <f t="shared" si="8"/>
        <v>960</v>
      </c>
      <c r="Y76" s="4">
        <f t="shared" si="9"/>
        <v>1000</v>
      </c>
    </row>
    <row r="77" spans="1:25" hidden="1" outlineLevel="2" x14ac:dyDescent="0.35">
      <c r="A77" s="38" t="s">
        <v>269</v>
      </c>
      <c r="B77" s="39" t="s">
        <v>36</v>
      </c>
      <c r="C77" s="39" t="s">
        <v>270</v>
      </c>
      <c r="D77" s="39" t="s">
        <v>254</v>
      </c>
      <c r="E77" s="40" t="s">
        <v>255</v>
      </c>
      <c r="F77" s="39" t="s">
        <v>41</v>
      </c>
      <c r="G77" s="39" t="s">
        <v>42</v>
      </c>
      <c r="H77" s="41">
        <v>63</v>
      </c>
      <c r="I77" s="36">
        <f t="shared" si="11"/>
        <v>252000</v>
      </c>
      <c r="J77" s="37">
        <f t="shared" si="12"/>
        <v>3.1500000000000004</v>
      </c>
      <c r="K77" s="37">
        <f t="shared" si="13"/>
        <v>4.7249999999999996</v>
      </c>
      <c r="M77" s="37">
        <f t="shared" si="4"/>
        <v>1.96875</v>
      </c>
      <c r="O77" s="4">
        <f t="shared" si="5"/>
        <v>945000</v>
      </c>
      <c r="Q77" s="4">
        <f t="shared" si="6"/>
        <v>78750</v>
      </c>
      <c r="S77" s="4">
        <f t="shared" si="7"/>
        <v>3150</v>
      </c>
      <c r="U77" s="4">
        <f t="shared" si="10"/>
        <v>11340</v>
      </c>
      <c r="W77" s="4">
        <f t="shared" si="8"/>
        <v>945</v>
      </c>
      <c r="Y77" s="4">
        <f t="shared" si="9"/>
        <v>984.375</v>
      </c>
    </row>
    <row r="78" spans="1:25" hidden="1" outlineLevel="2" x14ac:dyDescent="0.35">
      <c r="A78" s="38" t="s">
        <v>271</v>
      </c>
      <c r="B78" s="39" t="s">
        <v>36</v>
      </c>
      <c r="C78" s="39" t="s">
        <v>272</v>
      </c>
      <c r="D78" s="39" t="s">
        <v>145</v>
      </c>
      <c r="E78" s="40" t="s">
        <v>146</v>
      </c>
      <c r="F78" s="39" t="s">
        <v>41</v>
      </c>
      <c r="G78" s="39" t="s">
        <v>273</v>
      </c>
      <c r="H78" s="41">
        <v>60</v>
      </c>
      <c r="I78" s="36">
        <f t="shared" si="11"/>
        <v>240000</v>
      </c>
      <c r="J78" s="37">
        <f t="shared" si="12"/>
        <v>3</v>
      </c>
      <c r="K78" s="37">
        <f t="shared" si="13"/>
        <v>4.5</v>
      </c>
      <c r="M78" s="37">
        <f t="shared" si="4"/>
        <v>1.875</v>
      </c>
      <c r="O78" s="4">
        <f t="shared" si="5"/>
        <v>900000</v>
      </c>
      <c r="Q78" s="4">
        <f t="shared" si="6"/>
        <v>75000</v>
      </c>
      <c r="S78" s="4">
        <f t="shared" si="7"/>
        <v>3000</v>
      </c>
      <c r="U78" s="4">
        <f t="shared" si="10"/>
        <v>10800</v>
      </c>
      <c r="W78" s="4">
        <f t="shared" si="8"/>
        <v>900</v>
      </c>
      <c r="Y78" s="4">
        <f t="shared" si="9"/>
        <v>937.5</v>
      </c>
    </row>
    <row r="79" spans="1:25" hidden="1" outlineLevel="2" x14ac:dyDescent="0.35">
      <c r="A79" s="38" t="s">
        <v>274</v>
      </c>
      <c r="B79" s="39" t="s">
        <v>36</v>
      </c>
      <c r="C79" s="39" t="s">
        <v>275</v>
      </c>
      <c r="D79" s="39" t="s">
        <v>145</v>
      </c>
      <c r="E79" s="40" t="s">
        <v>146</v>
      </c>
      <c r="F79" s="39" t="s">
        <v>41</v>
      </c>
      <c r="G79" s="39" t="s">
        <v>62</v>
      </c>
      <c r="H79" s="41">
        <v>58</v>
      </c>
      <c r="I79" s="36">
        <f t="shared" si="11"/>
        <v>232000</v>
      </c>
      <c r="J79" s="37">
        <f t="shared" si="12"/>
        <v>2.9000000000000004</v>
      </c>
      <c r="K79" s="37">
        <f t="shared" si="13"/>
        <v>4.3499999999999996</v>
      </c>
      <c r="M79" s="37">
        <f t="shared" si="4"/>
        <v>1.8125</v>
      </c>
      <c r="O79" s="4">
        <f t="shared" si="5"/>
        <v>870000</v>
      </c>
      <c r="Q79" s="4">
        <f t="shared" si="6"/>
        <v>72500</v>
      </c>
      <c r="S79" s="4">
        <f t="shared" si="7"/>
        <v>2900</v>
      </c>
      <c r="U79" s="4">
        <f t="shared" si="10"/>
        <v>10440</v>
      </c>
      <c r="W79" s="4">
        <f t="shared" si="8"/>
        <v>870</v>
      </c>
      <c r="Y79" s="4">
        <f t="shared" si="9"/>
        <v>906.25</v>
      </c>
    </row>
    <row r="80" spans="1:25" hidden="1" outlineLevel="2" x14ac:dyDescent="0.35">
      <c r="A80" s="38" t="s">
        <v>276</v>
      </c>
      <c r="B80" s="39" t="s">
        <v>36</v>
      </c>
      <c r="C80" s="39" t="s">
        <v>277</v>
      </c>
      <c r="D80" s="39" t="s">
        <v>278</v>
      </c>
      <c r="E80" s="40" t="s">
        <v>161</v>
      </c>
      <c r="F80" s="39" t="s">
        <v>101</v>
      </c>
      <c r="G80" s="39" t="s">
        <v>42</v>
      </c>
      <c r="H80" s="41">
        <v>54</v>
      </c>
      <c r="I80" s="36">
        <f t="shared" si="11"/>
        <v>216000</v>
      </c>
      <c r="J80" s="37">
        <f t="shared" si="12"/>
        <v>2.7</v>
      </c>
      <c r="K80" s="37">
        <f t="shared" si="13"/>
        <v>4.05</v>
      </c>
      <c r="M80" s="37">
        <f t="shared" si="4"/>
        <v>1.6875</v>
      </c>
      <c r="O80" s="4">
        <f t="shared" si="5"/>
        <v>810000</v>
      </c>
      <c r="Q80" s="4">
        <f t="shared" si="6"/>
        <v>67500</v>
      </c>
      <c r="S80" s="4">
        <f t="shared" si="7"/>
        <v>2700</v>
      </c>
      <c r="U80" s="4">
        <f t="shared" si="10"/>
        <v>9720</v>
      </c>
      <c r="W80" s="4">
        <f t="shared" si="8"/>
        <v>810</v>
      </c>
      <c r="Y80" s="4">
        <f t="shared" si="9"/>
        <v>843.75</v>
      </c>
    </row>
    <row r="81" spans="1:25" hidden="1" outlineLevel="2" x14ac:dyDescent="0.35">
      <c r="A81" s="38" t="s">
        <v>279</v>
      </c>
      <c r="B81" s="39" t="s">
        <v>36</v>
      </c>
      <c r="C81" s="39" t="s">
        <v>186</v>
      </c>
      <c r="D81" s="39" t="s">
        <v>280</v>
      </c>
      <c r="E81" s="40" t="s">
        <v>78</v>
      </c>
      <c r="F81" s="39" t="s">
        <v>41</v>
      </c>
      <c r="G81" s="39" t="s">
        <v>42</v>
      </c>
      <c r="H81" s="41">
        <v>53</v>
      </c>
      <c r="I81" s="36">
        <f t="shared" si="11"/>
        <v>212000</v>
      </c>
      <c r="J81" s="37">
        <f t="shared" si="12"/>
        <v>2.6500000000000004</v>
      </c>
      <c r="K81" s="37">
        <f t="shared" si="13"/>
        <v>3.9749999999999996</v>
      </c>
      <c r="M81" s="37">
        <f t="shared" si="4"/>
        <v>1.65625</v>
      </c>
      <c r="O81" s="4">
        <f t="shared" si="5"/>
        <v>795000</v>
      </c>
      <c r="Q81" s="4">
        <f t="shared" si="6"/>
        <v>66250</v>
      </c>
      <c r="S81" s="4">
        <f t="shared" si="7"/>
        <v>2650</v>
      </c>
      <c r="U81" s="4">
        <f t="shared" si="10"/>
        <v>9540</v>
      </c>
      <c r="W81" s="4">
        <f t="shared" si="8"/>
        <v>795</v>
      </c>
      <c r="Y81" s="4">
        <f t="shared" si="9"/>
        <v>828.125</v>
      </c>
    </row>
    <row r="82" spans="1:25" hidden="1" outlineLevel="2" x14ac:dyDescent="0.35">
      <c r="A82" s="38" t="s">
        <v>281</v>
      </c>
      <c r="B82" s="39" t="s">
        <v>36</v>
      </c>
      <c r="C82" s="39" t="s">
        <v>282</v>
      </c>
      <c r="D82" s="39" t="s">
        <v>283</v>
      </c>
      <c r="E82" s="40" t="s">
        <v>211</v>
      </c>
      <c r="F82" s="39" t="s">
        <v>41</v>
      </c>
      <c r="G82" s="39" t="s">
        <v>62</v>
      </c>
      <c r="H82" s="41">
        <v>53</v>
      </c>
      <c r="I82" s="36">
        <f t="shared" si="11"/>
        <v>212000</v>
      </c>
      <c r="J82" s="37">
        <f t="shared" si="12"/>
        <v>2.6500000000000004</v>
      </c>
      <c r="K82" s="37">
        <f t="shared" si="13"/>
        <v>3.9749999999999996</v>
      </c>
      <c r="M82" s="37">
        <f t="shared" si="4"/>
        <v>1.65625</v>
      </c>
      <c r="O82" s="4">
        <f t="shared" si="5"/>
        <v>795000</v>
      </c>
      <c r="Q82" s="4">
        <f t="shared" si="6"/>
        <v>66250</v>
      </c>
      <c r="S82" s="4">
        <f t="shared" si="7"/>
        <v>2650</v>
      </c>
      <c r="U82" s="4">
        <f t="shared" si="10"/>
        <v>9540</v>
      </c>
      <c r="W82" s="4">
        <f t="shared" si="8"/>
        <v>795</v>
      </c>
      <c r="Y82" s="4">
        <f t="shared" si="9"/>
        <v>828.125</v>
      </c>
    </row>
    <row r="83" spans="1:25" hidden="1" outlineLevel="2" x14ac:dyDescent="0.35">
      <c r="A83" s="38" t="s">
        <v>284</v>
      </c>
      <c r="B83" s="39" t="s">
        <v>36</v>
      </c>
      <c r="C83" s="39" t="s">
        <v>285</v>
      </c>
      <c r="D83" s="39" t="s">
        <v>109</v>
      </c>
      <c r="E83" s="40" t="s">
        <v>109</v>
      </c>
      <c r="F83" s="39" t="s">
        <v>41</v>
      </c>
      <c r="G83" s="39" t="s">
        <v>286</v>
      </c>
      <c r="H83" s="41">
        <v>53</v>
      </c>
      <c r="I83" s="36">
        <f t="shared" ref="I83:I114" si="14">$E$7*H83</f>
        <v>212000</v>
      </c>
      <c r="J83" s="37">
        <f t="shared" ref="J83:J114" si="15">H83*$F$7</f>
        <v>2.6500000000000004</v>
      </c>
      <c r="K83" s="37">
        <f t="shared" ref="K83:K114" si="16">H83*$G$7</f>
        <v>3.9749999999999996</v>
      </c>
      <c r="M83" s="37">
        <f t="shared" ref="M83:M130" si="17">0.5*(AVERAGE(J83:K83))</f>
        <v>1.65625</v>
      </c>
      <c r="O83" s="4">
        <f t="shared" ref="O83:O130" si="18">I83*$E$3</f>
        <v>795000</v>
      </c>
      <c r="Q83" s="4">
        <f t="shared" ref="Q83:Q130" si="19">I83*$E$3/12</f>
        <v>66250</v>
      </c>
      <c r="S83" s="4">
        <f t="shared" ref="S83:S130" si="20">Q83*$E$4</f>
        <v>2650</v>
      </c>
      <c r="U83" s="4">
        <f t="shared" si="10"/>
        <v>9540</v>
      </c>
      <c r="W83" s="4">
        <f t="shared" ref="W83:W130" si="21">S83*$E$5</f>
        <v>795</v>
      </c>
      <c r="Y83" s="4">
        <f t="shared" ref="Y83:Y130" si="22">M83*$E$6</f>
        <v>828.125</v>
      </c>
    </row>
    <row r="84" spans="1:25" hidden="1" outlineLevel="2" x14ac:dyDescent="0.35">
      <c r="A84" s="38" t="s">
        <v>287</v>
      </c>
      <c r="B84" s="39" t="s">
        <v>36</v>
      </c>
      <c r="C84" s="39" t="s">
        <v>288</v>
      </c>
      <c r="D84" s="39" t="s">
        <v>50</v>
      </c>
      <c r="E84" s="40" t="s">
        <v>51</v>
      </c>
      <c r="F84" s="39" t="s">
        <v>41</v>
      </c>
      <c r="G84" s="39" t="s">
        <v>62</v>
      </c>
      <c r="H84" s="41">
        <v>50</v>
      </c>
      <c r="I84" s="36">
        <f t="shared" si="14"/>
        <v>200000</v>
      </c>
      <c r="J84" s="37">
        <f t="shared" si="15"/>
        <v>2.5</v>
      </c>
      <c r="K84" s="37">
        <f t="shared" si="16"/>
        <v>3.75</v>
      </c>
      <c r="M84" s="37">
        <f t="shared" si="17"/>
        <v>1.5625</v>
      </c>
      <c r="O84" s="4">
        <f t="shared" si="18"/>
        <v>750000</v>
      </c>
      <c r="Q84" s="4">
        <f t="shared" si="19"/>
        <v>62500</v>
      </c>
      <c r="S84" s="4">
        <f t="shared" si="20"/>
        <v>2500</v>
      </c>
      <c r="U84" s="4">
        <f t="shared" ref="U84:U130" si="23">W84*12</f>
        <v>9000</v>
      </c>
      <c r="W84" s="4">
        <f t="shared" si="21"/>
        <v>750</v>
      </c>
      <c r="Y84" s="4">
        <f t="shared" si="22"/>
        <v>781.25</v>
      </c>
    </row>
    <row r="85" spans="1:25" hidden="1" outlineLevel="2" x14ac:dyDescent="0.35">
      <c r="A85" s="38" t="s">
        <v>289</v>
      </c>
      <c r="B85" s="39" t="s">
        <v>36</v>
      </c>
      <c r="C85" s="39" t="s">
        <v>290</v>
      </c>
      <c r="D85" s="39" t="s">
        <v>145</v>
      </c>
      <c r="E85" s="40" t="s">
        <v>146</v>
      </c>
      <c r="F85" s="39" t="s">
        <v>41</v>
      </c>
      <c r="G85" s="39" t="s">
        <v>291</v>
      </c>
      <c r="H85" s="41">
        <v>48</v>
      </c>
      <c r="I85" s="36">
        <f t="shared" si="14"/>
        <v>192000</v>
      </c>
      <c r="J85" s="37">
        <f t="shared" si="15"/>
        <v>2.4000000000000004</v>
      </c>
      <c r="K85" s="37">
        <f t="shared" si="16"/>
        <v>3.5999999999999996</v>
      </c>
      <c r="M85" s="37">
        <f t="shared" si="17"/>
        <v>1.5</v>
      </c>
      <c r="O85" s="4">
        <f t="shared" si="18"/>
        <v>720000</v>
      </c>
      <c r="Q85" s="4">
        <f t="shared" si="19"/>
        <v>60000</v>
      </c>
      <c r="S85" s="4">
        <f t="shared" si="20"/>
        <v>2400</v>
      </c>
      <c r="U85" s="4">
        <f t="shared" si="23"/>
        <v>8640</v>
      </c>
      <c r="W85" s="4">
        <f t="shared" si="21"/>
        <v>720</v>
      </c>
      <c r="Y85" s="4">
        <f t="shared" si="22"/>
        <v>750</v>
      </c>
    </row>
    <row r="86" spans="1:25" hidden="1" outlineLevel="2" x14ac:dyDescent="0.35">
      <c r="A86" s="38" t="s">
        <v>292</v>
      </c>
      <c r="B86" s="39" t="s">
        <v>36</v>
      </c>
      <c r="C86" s="39" t="s">
        <v>293</v>
      </c>
      <c r="D86" s="39" t="s">
        <v>280</v>
      </c>
      <c r="E86" s="40" t="s">
        <v>78</v>
      </c>
      <c r="F86" s="39" t="s">
        <v>41</v>
      </c>
      <c r="G86" s="39" t="s">
        <v>42</v>
      </c>
      <c r="H86" s="41">
        <v>45</v>
      </c>
      <c r="I86" s="36">
        <f t="shared" si="14"/>
        <v>180000</v>
      </c>
      <c r="J86" s="37">
        <f t="shared" si="15"/>
        <v>2.25</v>
      </c>
      <c r="K86" s="37">
        <f t="shared" si="16"/>
        <v>3.375</v>
      </c>
      <c r="M86" s="37">
        <f t="shared" si="17"/>
        <v>1.40625</v>
      </c>
      <c r="O86" s="4">
        <f t="shared" si="18"/>
        <v>675000</v>
      </c>
      <c r="Q86" s="4">
        <f t="shared" si="19"/>
        <v>56250</v>
      </c>
      <c r="S86" s="4">
        <f t="shared" si="20"/>
        <v>2250</v>
      </c>
      <c r="U86" s="4">
        <f t="shared" si="23"/>
        <v>8100</v>
      </c>
      <c r="W86" s="4">
        <f t="shared" si="21"/>
        <v>675</v>
      </c>
      <c r="Y86" s="4">
        <f t="shared" si="22"/>
        <v>703.125</v>
      </c>
    </row>
    <row r="87" spans="1:25" hidden="1" outlineLevel="2" x14ac:dyDescent="0.35">
      <c r="A87" s="38" t="s">
        <v>294</v>
      </c>
      <c r="B87" s="39" t="s">
        <v>36</v>
      </c>
      <c r="C87" s="39" t="s">
        <v>295</v>
      </c>
      <c r="D87" s="39" t="s">
        <v>145</v>
      </c>
      <c r="E87" s="40" t="s">
        <v>146</v>
      </c>
      <c r="F87" s="39" t="s">
        <v>41</v>
      </c>
      <c r="G87" s="39" t="s">
        <v>296</v>
      </c>
      <c r="H87" s="41">
        <v>42</v>
      </c>
      <c r="I87" s="36">
        <f t="shared" si="14"/>
        <v>168000</v>
      </c>
      <c r="J87" s="37">
        <f t="shared" si="15"/>
        <v>2.1</v>
      </c>
      <c r="K87" s="37">
        <f t="shared" si="16"/>
        <v>3.15</v>
      </c>
      <c r="M87" s="37">
        <f t="shared" si="17"/>
        <v>1.3125</v>
      </c>
      <c r="O87" s="4">
        <f t="shared" si="18"/>
        <v>630000</v>
      </c>
      <c r="Q87" s="4">
        <f t="shared" si="19"/>
        <v>52500</v>
      </c>
      <c r="S87" s="4">
        <f t="shared" si="20"/>
        <v>2100</v>
      </c>
      <c r="U87" s="4">
        <f t="shared" si="23"/>
        <v>7560</v>
      </c>
      <c r="W87" s="4">
        <f t="shared" si="21"/>
        <v>630</v>
      </c>
      <c r="Y87" s="4">
        <f t="shared" si="22"/>
        <v>656.25</v>
      </c>
    </row>
    <row r="88" spans="1:25" hidden="1" outlineLevel="2" x14ac:dyDescent="0.35">
      <c r="A88" s="38" t="s">
        <v>297</v>
      </c>
      <c r="B88" s="39" t="s">
        <v>36</v>
      </c>
      <c r="C88" s="39" t="s">
        <v>298</v>
      </c>
      <c r="D88" s="39" t="s">
        <v>145</v>
      </c>
      <c r="E88" s="40" t="s">
        <v>146</v>
      </c>
      <c r="F88" s="39" t="s">
        <v>41</v>
      </c>
      <c r="G88" s="39" t="s">
        <v>62</v>
      </c>
      <c r="H88" s="41">
        <v>40</v>
      </c>
      <c r="I88" s="36">
        <f t="shared" si="14"/>
        <v>160000</v>
      </c>
      <c r="J88" s="37">
        <f t="shared" si="15"/>
        <v>2</v>
      </c>
      <c r="K88" s="37">
        <f t="shared" si="16"/>
        <v>3</v>
      </c>
      <c r="M88" s="37">
        <f t="shared" si="17"/>
        <v>1.25</v>
      </c>
      <c r="O88" s="4">
        <f t="shared" si="18"/>
        <v>600000</v>
      </c>
      <c r="Q88" s="4">
        <f t="shared" si="19"/>
        <v>50000</v>
      </c>
      <c r="S88" s="4">
        <f t="shared" si="20"/>
        <v>2000</v>
      </c>
      <c r="U88" s="4">
        <f t="shared" si="23"/>
        <v>7200</v>
      </c>
      <c r="W88" s="4">
        <f t="shared" si="21"/>
        <v>600</v>
      </c>
      <c r="Y88" s="4">
        <f t="shared" si="22"/>
        <v>625</v>
      </c>
    </row>
    <row r="89" spans="1:25" hidden="1" outlineLevel="2" x14ac:dyDescent="0.35">
      <c r="A89" s="38" t="s">
        <v>299</v>
      </c>
      <c r="B89" s="39" t="s">
        <v>36</v>
      </c>
      <c r="C89" s="39" t="s">
        <v>300</v>
      </c>
      <c r="D89" s="39" t="s">
        <v>301</v>
      </c>
      <c r="E89" s="40" t="s">
        <v>302</v>
      </c>
      <c r="F89" s="39" t="s">
        <v>41</v>
      </c>
      <c r="G89" s="39" t="s">
        <v>110</v>
      </c>
      <c r="H89" s="41">
        <v>37</v>
      </c>
      <c r="I89" s="36">
        <f t="shared" si="14"/>
        <v>148000</v>
      </c>
      <c r="J89" s="37">
        <f t="shared" si="15"/>
        <v>1.85</v>
      </c>
      <c r="K89" s="37">
        <f t="shared" si="16"/>
        <v>2.7749999999999999</v>
      </c>
      <c r="M89" s="37">
        <f t="shared" si="17"/>
        <v>1.15625</v>
      </c>
      <c r="O89" s="4">
        <f t="shared" si="18"/>
        <v>555000</v>
      </c>
      <c r="Q89" s="4">
        <f t="shared" si="19"/>
        <v>46250</v>
      </c>
      <c r="S89" s="4">
        <f t="shared" si="20"/>
        <v>1850</v>
      </c>
      <c r="U89" s="4">
        <f t="shared" si="23"/>
        <v>6660</v>
      </c>
      <c r="W89" s="4">
        <f t="shared" si="21"/>
        <v>555</v>
      </c>
      <c r="Y89" s="4">
        <f t="shared" si="22"/>
        <v>578.125</v>
      </c>
    </row>
    <row r="90" spans="1:25" hidden="1" outlineLevel="2" x14ac:dyDescent="0.35">
      <c r="A90" s="38" t="s">
        <v>303</v>
      </c>
      <c r="B90" s="39" t="s">
        <v>36</v>
      </c>
      <c r="C90" s="39" t="s">
        <v>304</v>
      </c>
      <c r="D90" s="39" t="s">
        <v>305</v>
      </c>
      <c r="E90" s="40" t="s">
        <v>302</v>
      </c>
      <c r="F90" s="39" t="s">
        <v>41</v>
      </c>
      <c r="G90" s="39" t="s">
        <v>110</v>
      </c>
      <c r="H90" s="41">
        <v>35</v>
      </c>
      <c r="I90" s="36">
        <f t="shared" si="14"/>
        <v>140000</v>
      </c>
      <c r="J90" s="37">
        <f t="shared" si="15"/>
        <v>1.75</v>
      </c>
      <c r="K90" s="37">
        <f t="shared" si="16"/>
        <v>2.625</v>
      </c>
      <c r="M90" s="37">
        <f t="shared" si="17"/>
        <v>1.09375</v>
      </c>
      <c r="O90" s="4">
        <f t="shared" si="18"/>
        <v>525000</v>
      </c>
      <c r="Q90" s="4">
        <f t="shared" si="19"/>
        <v>43750</v>
      </c>
      <c r="S90" s="4">
        <f t="shared" si="20"/>
        <v>1750</v>
      </c>
      <c r="U90" s="4">
        <f t="shared" si="23"/>
        <v>6300</v>
      </c>
      <c r="W90" s="4">
        <f t="shared" si="21"/>
        <v>525</v>
      </c>
      <c r="Y90" s="4">
        <f t="shared" si="22"/>
        <v>546.875</v>
      </c>
    </row>
    <row r="91" spans="1:25" hidden="1" outlineLevel="2" x14ac:dyDescent="0.35">
      <c r="A91" s="38" t="s">
        <v>306</v>
      </c>
      <c r="B91" s="39" t="s">
        <v>36</v>
      </c>
      <c r="C91" s="39" t="s">
        <v>307</v>
      </c>
      <c r="D91" s="39" t="s">
        <v>308</v>
      </c>
      <c r="E91" s="40" t="s">
        <v>211</v>
      </c>
      <c r="F91" s="39" t="s">
        <v>41</v>
      </c>
      <c r="G91" s="39" t="s">
        <v>110</v>
      </c>
      <c r="H91" s="41">
        <v>35</v>
      </c>
      <c r="I91" s="36">
        <f t="shared" si="14"/>
        <v>140000</v>
      </c>
      <c r="J91" s="37">
        <f t="shared" si="15"/>
        <v>1.75</v>
      </c>
      <c r="K91" s="37">
        <f t="shared" si="16"/>
        <v>2.625</v>
      </c>
      <c r="M91" s="37">
        <f t="shared" si="17"/>
        <v>1.09375</v>
      </c>
      <c r="O91" s="4">
        <f t="shared" si="18"/>
        <v>525000</v>
      </c>
      <c r="Q91" s="4">
        <f t="shared" si="19"/>
        <v>43750</v>
      </c>
      <c r="S91" s="4">
        <f t="shared" si="20"/>
        <v>1750</v>
      </c>
      <c r="U91" s="4">
        <f t="shared" si="23"/>
        <v>6300</v>
      </c>
      <c r="W91" s="4">
        <f t="shared" si="21"/>
        <v>525</v>
      </c>
      <c r="Y91" s="4">
        <f t="shared" si="22"/>
        <v>546.875</v>
      </c>
    </row>
    <row r="92" spans="1:25" hidden="1" outlineLevel="2" x14ac:dyDescent="0.35">
      <c r="A92" s="38" t="s">
        <v>309</v>
      </c>
      <c r="B92" s="39" t="s">
        <v>36</v>
      </c>
      <c r="C92" s="39" t="s">
        <v>310</v>
      </c>
      <c r="D92" s="39" t="s">
        <v>311</v>
      </c>
      <c r="E92" s="40" t="s">
        <v>165</v>
      </c>
      <c r="F92" s="39" t="s">
        <v>41</v>
      </c>
      <c r="G92" s="39" t="s">
        <v>42</v>
      </c>
      <c r="H92" s="41">
        <v>34</v>
      </c>
      <c r="I92" s="36">
        <f t="shared" si="14"/>
        <v>136000</v>
      </c>
      <c r="J92" s="37">
        <f t="shared" si="15"/>
        <v>1.7000000000000002</v>
      </c>
      <c r="K92" s="37">
        <f t="shared" si="16"/>
        <v>2.5499999999999998</v>
      </c>
      <c r="M92" s="37">
        <f t="shared" si="17"/>
        <v>1.0625</v>
      </c>
      <c r="O92" s="4">
        <f t="shared" si="18"/>
        <v>510000</v>
      </c>
      <c r="Q92" s="4">
        <f t="shared" si="19"/>
        <v>42500</v>
      </c>
      <c r="S92" s="4">
        <f t="shared" si="20"/>
        <v>1700</v>
      </c>
      <c r="U92" s="4">
        <f t="shared" si="23"/>
        <v>6120</v>
      </c>
      <c r="W92" s="4">
        <f t="shared" si="21"/>
        <v>510</v>
      </c>
      <c r="Y92" s="4">
        <f t="shared" si="22"/>
        <v>531.25</v>
      </c>
    </row>
    <row r="93" spans="1:25" hidden="1" outlineLevel="2" x14ac:dyDescent="0.35">
      <c r="A93" s="38" t="s">
        <v>312</v>
      </c>
      <c r="B93" s="39" t="s">
        <v>36</v>
      </c>
      <c r="C93" s="39" t="s">
        <v>313</v>
      </c>
      <c r="D93" s="39" t="s">
        <v>314</v>
      </c>
      <c r="E93" s="40" t="s">
        <v>191</v>
      </c>
      <c r="F93" s="39" t="s">
        <v>41</v>
      </c>
      <c r="G93" s="39" t="s">
        <v>315</v>
      </c>
      <c r="H93" s="41">
        <v>34</v>
      </c>
      <c r="I93" s="36">
        <f t="shared" si="14"/>
        <v>136000</v>
      </c>
      <c r="J93" s="37">
        <f t="shared" si="15"/>
        <v>1.7000000000000002</v>
      </c>
      <c r="K93" s="37">
        <f t="shared" si="16"/>
        <v>2.5499999999999998</v>
      </c>
      <c r="M93" s="37">
        <f t="shared" si="17"/>
        <v>1.0625</v>
      </c>
      <c r="O93" s="4">
        <f t="shared" si="18"/>
        <v>510000</v>
      </c>
      <c r="Q93" s="4">
        <f t="shared" si="19"/>
        <v>42500</v>
      </c>
      <c r="S93" s="4">
        <f t="shared" si="20"/>
        <v>1700</v>
      </c>
      <c r="U93" s="4">
        <f t="shared" si="23"/>
        <v>6120</v>
      </c>
      <c r="W93" s="4">
        <f t="shared" si="21"/>
        <v>510</v>
      </c>
      <c r="Y93" s="4">
        <f t="shared" si="22"/>
        <v>531.25</v>
      </c>
    </row>
    <row r="94" spans="1:25" hidden="1" outlineLevel="2" x14ac:dyDescent="0.35">
      <c r="A94" s="38" t="s">
        <v>316</v>
      </c>
      <c r="B94" s="39" t="s">
        <v>36</v>
      </c>
      <c r="C94" s="39" t="s">
        <v>317</v>
      </c>
      <c r="D94" s="39" t="s">
        <v>185</v>
      </c>
      <c r="E94" s="40" t="s">
        <v>186</v>
      </c>
      <c r="F94" s="39" t="s">
        <v>41</v>
      </c>
      <c r="G94" s="39" t="s">
        <v>318</v>
      </c>
      <c r="H94" s="41">
        <v>34</v>
      </c>
      <c r="I94" s="36">
        <f t="shared" si="14"/>
        <v>136000</v>
      </c>
      <c r="J94" s="37">
        <f t="shared" si="15"/>
        <v>1.7000000000000002</v>
      </c>
      <c r="K94" s="37">
        <f t="shared" si="16"/>
        <v>2.5499999999999998</v>
      </c>
      <c r="M94" s="37">
        <f t="shared" si="17"/>
        <v>1.0625</v>
      </c>
      <c r="O94" s="4">
        <f t="shared" si="18"/>
        <v>510000</v>
      </c>
      <c r="Q94" s="4">
        <f t="shared" si="19"/>
        <v>42500</v>
      </c>
      <c r="S94" s="4">
        <f t="shared" si="20"/>
        <v>1700</v>
      </c>
      <c r="U94" s="4">
        <f t="shared" si="23"/>
        <v>6120</v>
      </c>
      <c r="W94" s="4">
        <f t="shared" si="21"/>
        <v>510</v>
      </c>
      <c r="Y94" s="4">
        <f t="shared" si="22"/>
        <v>531.25</v>
      </c>
    </row>
    <row r="95" spans="1:25" hidden="1" outlineLevel="2" x14ac:dyDescent="0.35">
      <c r="A95" s="38" t="s">
        <v>319</v>
      </c>
      <c r="B95" s="39" t="s">
        <v>36</v>
      </c>
      <c r="C95" s="39" t="s">
        <v>320</v>
      </c>
      <c r="D95" s="39" t="s">
        <v>77</v>
      </c>
      <c r="E95" s="40" t="s">
        <v>78</v>
      </c>
      <c r="F95" s="39" t="s">
        <v>41</v>
      </c>
      <c r="G95" s="39" t="s">
        <v>321</v>
      </c>
      <c r="H95" s="41">
        <v>33</v>
      </c>
      <c r="I95" s="36">
        <f t="shared" si="14"/>
        <v>132000</v>
      </c>
      <c r="J95" s="37">
        <f t="shared" si="15"/>
        <v>1.6500000000000001</v>
      </c>
      <c r="K95" s="37">
        <f t="shared" si="16"/>
        <v>2.4750000000000001</v>
      </c>
      <c r="M95" s="37">
        <f t="shared" si="17"/>
        <v>1.03125</v>
      </c>
      <c r="O95" s="4">
        <f t="shared" si="18"/>
        <v>495000</v>
      </c>
      <c r="Q95" s="4">
        <f t="shared" si="19"/>
        <v>41250</v>
      </c>
      <c r="S95" s="4">
        <f t="shared" si="20"/>
        <v>1650</v>
      </c>
      <c r="U95" s="4">
        <f t="shared" si="23"/>
        <v>5940</v>
      </c>
      <c r="W95" s="4">
        <f t="shared" si="21"/>
        <v>495</v>
      </c>
      <c r="Y95" s="4">
        <f t="shared" si="22"/>
        <v>515.625</v>
      </c>
    </row>
    <row r="96" spans="1:25" hidden="1" outlineLevel="2" x14ac:dyDescent="0.35">
      <c r="A96" s="38" t="s">
        <v>322</v>
      </c>
      <c r="B96" s="39" t="s">
        <v>36</v>
      </c>
      <c r="C96" s="39" t="s">
        <v>323</v>
      </c>
      <c r="D96" s="39" t="s">
        <v>145</v>
      </c>
      <c r="E96" s="40" t="s">
        <v>146</v>
      </c>
      <c r="F96" s="39" t="s">
        <v>41</v>
      </c>
      <c r="G96" s="39" t="s">
        <v>62</v>
      </c>
      <c r="H96" s="41">
        <v>32</v>
      </c>
      <c r="I96" s="36">
        <f t="shared" si="14"/>
        <v>128000</v>
      </c>
      <c r="J96" s="37">
        <f t="shared" si="15"/>
        <v>1.6</v>
      </c>
      <c r="K96" s="37">
        <f t="shared" si="16"/>
        <v>2.4</v>
      </c>
      <c r="M96" s="37">
        <f t="shared" si="17"/>
        <v>1</v>
      </c>
      <c r="O96" s="4">
        <f t="shared" si="18"/>
        <v>480000</v>
      </c>
      <c r="Q96" s="4">
        <f t="shared" si="19"/>
        <v>40000</v>
      </c>
      <c r="S96" s="4">
        <f t="shared" si="20"/>
        <v>1600</v>
      </c>
      <c r="U96" s="4">
        <f t="shared" si="23"/>
        <v>5760</v>
      </c>
      <c r="W96" s="4">
        <f t="shared" si="21"/>
        <v>480</v>
      </c>
      <c r="Y96" s="4">
        <f t="shared" si="22"/>
        <v>500</v>
      </c>
    </row>
    <row r="97" spans="1:25" hidden="1" outlineLevel="2" x14ac:dyDescent="0.35">
      <c r="A97" s="38" t="s">
        <v>324</v>
      </c>
      <c r="B97" s="39" t="s">
        <v>36</v>
      </c>
      <c r="C97" s="39" t="s">
        <v>325</v>
      </c>
      <c r="D97" s="39" t="s">
        <v>109</v>
      </c>
      <c r="E97" s="40" t="s">
        <v>109</v>
      </c>
      <c r="F97" s="39" t="s">
        <v>41</v>
      </c>
      <c r="G97" s="39" t="s">
        <v>326</v>
      </c>
      <c r="H97" s="41">
        <v>31</v>
      </c>
      <c r="I97" s="36">
        <f t="shared" si="14"/>
        <v>124000</v>
      </c>
      <c r="J97" s="37">
        <f t="shared" si="15"/>
        <v>1.55</v>
      </c>
      <c r="K97" s="37">
        <f t="shared" si="16"/>
        <v>2.3249999999999997</v>
      </c>
      <c r="M97" s="37">
        <f t="shared" si="17"/>
        <v>0.96875</v>
      </c>
      <c r="O97" s="4">
        <f t="shared" si="18"/>
        <v>465000</v>
      </c>
      <c r="Q97" s="4">
        <f t="shared" si="19"/>
        <v>38750</v>
      </c>
      <c r="S97" s="4">
        <f t="shared" si="20"/>
        <v>1550</v>
      </c>
      <c r="U97" s="4">
        <f t="shared" si="23"/>
        <v>5580</v>
      </c>
      <c r="W97" s="4">
        <f t="shared" si="21"/>
        <v>465</v>
      </c>
      <c r="Y97" s="4">
        <f t="shared" si="22"/>
        <v>484.375</v>
      </c>
    </row>
    <row r="98" spans="1:25" hidden="1" outlineLevel="2" x14ac:dyDescent="0.35">
      <c r="A98" s="38" t="s">
        <v>327</v>
      </c>
      <c r="B98" s="39" t="s">
        <v>36</v>
      </c>
      <c r="C98" s="39" t="s">
        <v>328</v>
      </c>
      <c r="D98" s="39" t="s">
        <v>329</v>
      </c>
      <c r="E98" s="40" t="s">
        <v>191</v>
      </c>
      <c r="F98" s="39" t="s">
        <v>41</v>
      </c>
      <c r="G98" s="39" t="s">
        <v>62</v>
      </c>
      <c r="H98" s="41">
        <v>29</v>
      </c>
      <c r="I98" s="36">
        <f t="shared" si="14"/>
        <v>116000</v>
      </c>
      <c r="J98" s="37">
        <f t="shared" si="15"/>
        <v>1.4500000000000002</v>
      </c>
      <c r="K98" s="37">
        <f t="shared" si="16"/>
        <v>2.1749999999999998</v>
      </c>
      <c r="M98" s="37">
        <f t="shared" si="17"/>
        <v>0.90625</v>
      </c>
      <c r="O98" s="4">
        <f t="shared" si="18"/>
        <v>435000</v>
      </c>
      <c r="Q98" s="4">
        <f t="shared" si="19"/>
        <v>36250</v>
      </c>
      <c r="S98" s="4">
        <f t="shared" si="20"/>
        <v>1450</v>
      </c>
      <c r="U98" s="4">
        <f t="shared" si="23"/>
        <v>5220</v>
      </c>
      <c r="W98" s="4">
        <f t="shared" si="21"/>
        <v>435</v>
      </c>
      <c r="Y98" s="4">
        <f t="shared" si="22"/>
        <v>453.125</v>
      </c>
    </row>
    <row r="99" spans="1:25" hidden="1" outlineLevel="2" x14ac:dyDescent="0.35">
      <c r="A99" s="38" t="s">
        <v>330</v>
      </c>
      <c r="B99" s="39" t="s">
        <v>36</v>
      </c>
      <c r="C99" s="39" t="s">
        <v>331</v>
      </c>
      <c r="D99" s="39" t="s">
        <v>65</v>
      </c>
      <c r="E99" s="40" t="s">
        <v>66</v>
      </c>
      <c r="F99" s="39" t="s">
        <v>41</v>
      </c>
      <c r="G99" s="39" t="s">
        <v>42</v>
      </c>
      <c r="H99" s="41">
        <v>25</v>
      </c>
      <c r="I99" s="36">
        <f t="shared" si="14"/>
        <v>100000</v>
      </c>
      <c r="J99" s="37">
        <f t="shared" si="15"/>
        <v>1.25</v>
      </c>
      <c r="K99" s="37">
        <f t="shared" si="16"/>
        <v>1.875</v>
      </c>
      <c r="M99" s="37">
        <f t="shared" si="17"/>
        <v>0.78125</v>
      </c>
      <c r="O99" s="4">
        <f t="shared" si="18"/>
        <v>375000</v>
      </c>
      <c r="Q99" s="4">
        <f t="shared" si="19"/>
        <v>31250</v>
      </c>
      <c r="S99" s="4">
        <f t="shared" si="20"/>
        <v>1250</v>
      </c>
      <c r="U99" s="4">
        <f t="shared" si="23"/>
        <v>4500</v>
      </c>
      <c r="W99" s="4">
        <f t="shared" si="21"/>
        <v>375</v>
      </c>
      <c r="Y99" s="4">
        <f t="shared" si="22"/>
        <v>390.625</v>
      </c>
    </row>
    <row r="100" spans="1:25" hidden="1" outlineLevel="2" x14ac:dyDescent="0.35">
      <c r="A100" s="38" t="s">
        <v>332</v>
      </c>
      <c r="B100" s="39" t="s">
        <v>36</v>
      </c>
      <c r="C100" s="39" t="s">
        <v>333</v>
      </c>
      <c r="D100" s="39" t="s">
        <v>334</v>
      </c>
      <c r="E100" s="40" t="s">
        <v>226</v>
      </c>
      <c r="F100" s="39" t="s">
        <v>41</v>
      </c>
      <c r="G100" s="39" t="s">
        <v>62</v>
      </c>
      <c r="H100" s="41">
        <v>25</v>
      </c>
      <c r="I100" s="36">
        <f t="shared" si="14"/>
        <v>100000</v>
      </c>
      <c r="J100" s="37">
        <f t="shared" si="15"/>
        <v>1.25</v>
      </c>
      <c r="K100" s="37">
        <f t="shared" si="16"/>
        <v>1.875</v>
      </c>
      <c r="M100" s="37">
        <f t="shared" si="17"/>
        <v>0.78125</v>
      </c>
      <c r="O100" s="4">
        <f t="shared" si="18"/>
        <v>375000</v>
      </c>
      <c r="Q100" s="4">
        <f t="shared" si="19"/>
        <v>31250</v>
      </c>
      <c r="S100" s="4">
        <f t="shared" si="20"/>
        <v>1250</v>
      </c>
      <c r="U100" s="4">
        <f t="shared" si="23"/>
        <v>4500</v>
      </c>
      <c r="W100" s="4">
        <f t="shared" si="21"/>
        <v>375</v>
      </c>
      <c r="Y100" s="4">
        <f t="shared" si="22"/>
        <v>390.625</v>
      </c>
    </row>
    <row r="101" spans="1:25" hidden="1" outlineLevel="2" x14ac:dyDescent="0.35">
      <c r="A101" s="38" t="s">
        <v>335</v>
      </c>
      <c r="B101" s="39" t="s">
        <v>36</v>
      </c>
      <c r="C101" s="39" t="s">
        <v>336</v>
      </c>
      <c r="D101" s="39" t="s">
        <v>337</v>
      </c>
      <c r="E101" s="40" t="s">
        <v>191</v>
      </c>
      <c r="F101" s="39" t="s">
        <v>41</v>
      </c>
      <c r="G101" s="39" t="s">
        <v>42</v>
      </c>
      <c r="H101" s="41">
        <v>25</v>
      </c>
      <c r="I101" s="36">
        <f t="shared" si="14"/>
        <v>100000</v>
      </c>
      <c r="J101" s="37">
        <f t="shared" si="15"/>
        <v>1.25</v>
      </c>
      <c r="K101" s="37">
        <f t="shared" si="16"/>
        <v>1.875</v>
      </c>
      <c r="M101" s="37">
        <f t="shared" si="17"/>
        <v>0.78125</v>
      </c>
      <c r="O101" s="4">
        <f t="shared" si="18"/>
        <v>375000</v>
      </c>
      <c r="Q101" s="4">
        <f t="shared" si="19"/>
        <v>31250</v>
      </c>
      <c r="S101" s="4">
        <f t="shared" si="20"/>
        <v>1250</v>
      </c>
      <c r="U101" s="4">
        <f t="shared" si="23"/>
        <v>4500</v>
      </c>
      <c r="W101" s="4">
        <f t="shared" si="21"/>
        <v>375</v>
      </c>
      <c r="Y101" s="4">
        <f t="shared" si="22"/>
        <v>390.625</v>
      </c>
    </row>
    <row r="102" spans="1:25" hidden="1" outlineLevel="2" x14ac:dyDescent="0.35">
      <c r="A102" s="38" t="s">
        <v>338</v>
      </c>
      <c r="B102" s="39" t="s">
        <v>36</v>
      </c>
      <c r="C102" s="39" t="s">
        <v>339</v>
      </c>
      <c r="D102" s="39" t="s">
        <v>340</v>
      </c>
      <c r="E102" s="40" t="s">
        <v>200</v>
      </c>
      <c r="F102" s="39" t="s">
        <v>41</v>
      </c>
      <c r="G102" s="39" t="s">
        <v>42</v>
      </c>
      <c r="H102" s="41">
        <v>23</v>
      </c>
      <c r="I102" s="36">
        <f t="shared" si="14"/>
        <v>92000</v>
      </c>
      <c r="J102" s="37">
        <f t="shared" si="15"/>
        <v>1.1500000000000001</v>
      </c>
      <c r="K102" s="37">
        <f t="shared" si="16"/>
        <v>1.7249999999999999</v>
      </c>
      <c r="M102" s="37">
        <f t="shared" si="17"/>
        <v>0.71875</v>
      </c>
      <c r="O102" s="4">
        <f t="shared" si="18"/>
        <v>345000</v>
      </c>
      <c r="Q102" s="4">
        <f t="shared" si="19"/>
        <v>28750</v>
      </c>
      <c r="S102" s="4">
        <f t="shared" si="20"/>
        <v>1150</v>
      </c>
      <c r="U102" s="4">
        <f t="shared" si="23"/>
        <v>4140</v>
      </c>
      <c r="W102" s="4">
        <f t="shared" si="21"/>
        <v>345</v>
      </c>
      <c r="Y102" s="4">
        <f t="shared" si="22"/>
        <v>359.375</v>
      </c>
    </row>
    <row r="103" spans="1:25" hidden="1" outlineLevel="2" x14ac:dyDescent="0.35">
      <c r="A103" s="38" t="s">
        <v>341</v>
      </c>
      <c r="B103" s="39" t="s">
        <v>36</v>
      </c>
      <c r="C103" s="39" t="s">
        <v>342</v>
      </c>
      <c r="D103" s="39" t="s">
        <v>314</v>
      </c>
      <c r="E103" s="40" t="s">
        <v>191</v>
      </c>
      <c r="F103" s="39" t="s">
        <v>41</v>
      </c>
      <c r="G103" s="39" t="s">
        <v>343</v>
      </c>
      <c r="H103" s="41">
        <v>22</v>
      </c>
      <c r="I103" s="36">
        <f t="shared" si="14"/>
        <v>88000</v>
      </c>
      <c r="J103" s="37">
        <f t="shared" si="15"/>
        <v>1.1000000000000001</v>
      </c>
      <c r="K103" s="37">
        <f t="shared" si="16"/>
        <v>1.65</v>
      </c>
      <c r="M103" s="37">
        <f t="shared" si="17"/>
        <v>0.6875</v>
      </c>
      <c r="O103" s="4">
        <f t="shared" si="18"/>
        <v>330000</v>
      </c>
      <c r="Q103" s="4">
        <f t="shared" si="19"/>
        <v>27500</v>
      </c>
      <c r="S103" s="4">
        <f t="shared" si="20"/>
        <v>1100</v>
      </c>
      <c r="U103" s="4">
        <f t="shared" si="23"/>
        <v>3960</v>
      </c>
      <c r="W103" s="4">
        <f t="shared" si="21"/>
        <v>330</v>
      </c>
      <c r="Y103" s="4">
        <f t="shared" si="22"/>
        <v>343.75</v>
      </c>
    </row>
    <row r="104" spans="1:25" hidden="1" outlineLevel="2" x14ac:dyDescent="0.35">
      <c r="A104" s="38" t="s">
        <v>344</v>
      </c>
      <c r="B104" s="39" t="s">
        <v>36</v>
      </c>
      <c r="C104" s="39" t="s">
        <v>345</v>
      </c>
      <c r="D104" s="39" t="s">
        <v>346</v>
      </c>
      <c r="E104" s="40" t="s">
        <v>222</v>
      </c>
      <c r="F104" s="39" t="s">
        <v>41</v>
      </c>
      <c r="G104" s="39" t="s">
        <v>347</v>
      </c>
      <c r="H104" s="41">
        <v>22</v>
      </c>
      <c r="I104" s="36">
        <f t="shared" si="14"/>
        <v>88000</v>
      </c>
      <c r="J104" s="37">
        <f t="shared" si="15"/>
        <v>1.1000000000000001</v>
      </c>
      <c r="K104" s="37">
        <f t="shared" si="16"/>
        <v>1.65</v>
      </c>
      <c r="M104" s="37">
        <f t="shared" si="17"/>
        <v>0.6875</v>
      </c>
      <c r="O104" s="4">
        <f t="shared" si="18"/>
        <v>330000</v>
      </c>
      <c r="Q104" s="4">
        <f t="shared" si="19"/>
        <v>27500</v>
      </c>
      <c r="S104" s="4">
        <f t="shared" si="20"/>
        <v>1100</v>
      </c>
      <c r="U104" s="4">
        <f t="shared" si="23"/>
        <v>3960</v>
      </c>
      <c r="W104" s="4">
        <f t="shared" si="21"/>
        <v>330</v>
      </c>
      <c r="Y104" s="4">
        <f t="shared" si="22"/>
        <v>343.75</v>
      </c>
    </row>
    <row r="105" spans="1:25" hidden="1" outlineLevel="2" x14ac:dyDescent="0.35">
      <c r="A105" s="38" t="s">
        <v>348</v>
      </c>
      <c r="B105" s="39" t="s">
        <v>36</v>
      </c>
      <c r="C105" s="39" t="s">
        <v>349</v>
      </c>
      <c r="D105" s="39" t="s">
        <v>74</v>
      </c>
      <c r="E105" s="40" t="s">
        <v>66</v>
      </c>
      <c r="F105" s="39" t="s">
        <v>41</v>
      </c>
      <c r="G105" s="39" t="s">
        <v>110</v>
      </c>
      <c r="H105" s="41">
        <v>21</v>
      </c>
      <c r="I105" s="36">
        <f t="shared" si="14"/>
        <v>84000</v>
      </c>
      <c r="J105" s="37">
        <f t="shared" si="15"/>
        <v>1.05</v>
      </c>
      <c r="K105" s="37">
        <f t="shared" si="16"/>
        <v>1.575</v>
      </c>
      <c r="M105" s="37">
        <f t="shared" si="17"/>
        <v>0.65625</v>
      </c>
      <c r="O105" s="4">
        <f t="shared" si="18"/>
        <v>315000</v>
      </c>
      <c r="Q105" s="4">
        <f t="shared" si="19"/>
        <v>26250</v>
      </c>
      <c r="S105" s="4">
        <f t="shared" si="20"/>
        <v>1050</v>
      </c>
      <c r="U105" s="4">
        <f t="shared" si="23"/>
        <v>3780</v>
      </c>
      <c r="W105" s="4">
        <f t="shared" si="21"/>
        <v>315</v>
      </c>
      <c r="Y105" s="4">
        <f t="shared" si="22"/>
        <v>328.125</v>
      </c>
    </row>
    <row r="106" spans="1:25" hidden="1" outlineLevel="2" x14ac:dyDescent="0.35">
      <c r="A106" s="38" t="s">
        <v>350</v>
      </c>
      <c r="B106" s="39" t="s">
        <v>36</v>
      </c>
      <c r="C106" s="39" t="s">
        <v>351</v>
      </c>
      <c r="D106" s="39" t="s">
        <v>352</v>
      </c>
      <c r="E106" s="40" t="s">
        <v>106</v>
      </c>
      <c r="F106" s="39" t="s">
        <v>41</v>
      </c>
      <c r="G106" s="39" t="s">
        <v>62</v>
      </c>
      <c r="H106" s="41">
        <v>20</v>
      </c>
      <c r="I106" s="36">
        <f t="shared" si="14"/>
        <v>80000</v>
      </c>
      <c r="J106" s="37">
        <f t="shared" si="15"/>
        <v>1</v>
      </c>
      <c r="K106" s="37">
        <f t="shared" si="16"/>
        <v>1.5</v>
      </c>
      <c r="M106" s="37">
        <f t="shared" si="17"/>
        <v>0.625</v>
      </c>
      <c r="O106" s="4">
        <f t="shared" si="18"/>
        <v>300000</v>
      </c>
      <c r="Q106" s="4">
        <f t="shared" si="19"/>
        <v>25000</v>
      </c>
      <c r="S106" s="4">
        <f t="shared" si="20"/>
        <v>1000</v>
      </c>
      <c r="U106" s="4">
        <f t="shared" si="23"/>
        <v>3600</v>
      </c>
      <c r="W106" s="4">
        <f t="shared" si="21"/>
        <v>300</v>
      </c>
      <c r="Y106" s="4">
        <f t="shared" si="22"/>
        <v>312.5</v>
      </c>
    </row>
    <row r="107" spans="1:25" hidden="1" outlineLevel="2" x14ac:dyDescent="0.35">
      <c r="A107" s="38" t="s">
        <v>353</v>
      </c>
      <c r="B107" s="39" t="s">
        <v>36</v>
      </c>
      <c r="C107" s="39" t="s">
        <v>354</v>
      </c>
      <c r="D107" s="39" t="s">
        <v>50</v>
      </c>
      <c r="E107" s="40" t="s">
        <v>51</v>
      </c>
      <c r="F107" s="39" t="s">
        <v>41</v>
      </c>
      <c r="G107" s="39" t="s">
        <v>110</v>
      </c>
      <c r="H107" s="41">
        <v>19</v>
      </c>
      <c r="I107" s="36">
        <f t="shared" si="14"/>
        <v>76000</v>
      </c>
      <c r="J107" s="37">
        <f t="shared" si="15"/>
        <v>0.95000000000000007</v>
      </c>
      <c r="K107" s="37">
        <f t="shared" si="16"/>
        <v>1.425</v>
      </c>
      <c r="M107" s="37">
        <f t="shared" si="17"/>
        <v>0.59375</v>
      </c>
      <c r="O107" s="4">
        <f t="shared" si="18"/>
        <v>285000</v>
      </c>
      <c r="Q107" s="4">
        <f t="shared" si="19"/>
        <v>23750</v>
      </c>
      <c r="S107" s="4">
        <f t="shared" si="20"/>
        <v>950</v>
      </c>
      <c r="U107" s="4">
        <f t="shared" si="23"/>
        <v>3420</v>
      </c>
      <c r="W107" s="4">
        <f t="shared" si="21"/>
        <v>285</v>
      </c>
      <c r="Y107" s="4">
        <f t="shared" si="22"/>
        <v>296.875</v>
      </c>
    </row>
    <row r="108" spans="1:25" hidden="1" outlineLevel="2" x14ac:dyDescent="0.35">
      <c r="A108" s="38" t="s">
        <v>355</v>
      </c>
      <c r="B108" s="39" t="s">
        <v>36</v>
      </c>
      <c r="C108" s="39" t="s">
        <v>356</v>
      </c>
      <c r="D108" s="39" t="s">
        <v>109</v>
      </c>
      <c r="E108" s="40" t="s">
        <v>109</v>
      </c>
      <c r="F108" s="39" t="s">
        <v>41</v>
      </c>
      <c r="G108" s="39" t="s">
        <v>110</v>
      </c>
      <c r="H108" s="41">
        <v>19</v>
      </c>
      <c r="I108" s="36">
        <f t="shared" si="14"/>
        <v>76000</v>
      </c>
      <c r="J108" s="37">
        <f t="shared" si="15"/>
        <v>0.95000000000000007</v>
      </c>
      <c r="K108" s="37">
        <f t="shared" si="16"/>
        <v>1.425</v>
      </c>
      <c r="M108" s="37">
        <f t="shared" si="17"/>
        <v>0.59375</v>
      </c>
      <c r="O108" s="4">
        <f t="shared" si="18"/>
        <v>285000</v>
      </c>
      <c r="Q108" s="4">
        <f t="shared" si="19"/>
        <v>23750</v>
      </c>
      <c r="S108" s="4">
        <f t="shared" si="20"/>
        <v>950</v>
      </c>
      <c r="U108" s="4">
        <f t="shared" si="23"/>
        <v>3420</v>
      </c>
      <c r="W108" s="4">
        <f t="shared" si="21"/>
        <v>285</v>
      </c>
      <c r="Y108" s="4">
        <f t="shared" si="22"/>
        <v>296.875</v>
      </c>
    </row>
    <row r="109" spans="1:25" hidden="1" outlineLevel="2" x14ac:dyDescent="0.35">
      <c r="A109" s="38" t="s">
        <v>357</v>
      </c>
      <c r="B109" s="39" t="s">
        <v>36</v>
      </c>
      <c r="C109" s="39" t="s">
        <v>358</v>
      </c>
      <c r="D109" s="39" t="s">
        <v>109</v>
      </c>
      <c r="E109" s="40" t="s">
        <v>359</v>
      </c>
      <c r="F109" s="39" t="s">
        <v>101</v>
      </c>
      <c r="G109" s="39" t="s">
        <v>110</v>
      </c>
      <c r="H109" s="41">
        <v>19</v>
      </c>
      <c r="I109" s="36">
        <f t="shared" si="14"/>
        <v>76000</v>
      </c>
      <c r="J109" s="37">
        <f t="shared" si="15"/>
        <v>0.95000000000000007</v>
      </c>
      <c r="K109" s="37">
        <f t="shared" si="16"/>
        <v>1.425</v>
      </c>
      <c r="M109" s="37">
        <f t="shared" si="17"/>
        <v>0.59375</v>
      </c>
      <c r="O109" s="4">
        <f t="shared" si="18"/>
        <v>285000</v>
      </c>
      <c r="Q109" s="4">
        <f t="shared" si="19"/>
        <v>23750</v>
      </c>
      <c r="S109" s="4">
        <f t="shared" si="20"/>
        <v>950</v>
      </c>
      <c r="U109" s="4">
        <f t="shared" si="23"/>
        <v>3420</v>
      </c>
      <c r="W109" s="4">
        <f t="shared" si="21"/>
        <v>285</v>
      </c>
      <c r="Y109" s="4">
        <f t="shared" si="22"/>
        <v>296.875</v>
      </c>
    </row>
    <row r="110" spans="1:25" hidden="1" outlineLevel="2" x14ac:dyDescent="0.35">
      <c r="A110" s="38" t="s">
        <v>360</v>
      </c>
      <c r="B110" s="39" t="s">
        <v>36</v>
      </c>
      <c r="C110" s="39" t="s">
        <v>361</v>
      </c>
      <c r="D110" s="39" t="s">
        <v>50</v>
      </c>
      <c r="E110" s="40" t="s">
        <v>51</v>
      </c>
      <c r="F110" s="39" t="s">
        <v>41</v>
      </c>
      <c r="G110" s="39" t="s">
        <v>110</v>
      </c>
      <c r="H110" s="41">
        <v>18</v>
      </c>
      <c r="I110" s="36">
        <f t="shared" si="14"/>
        <v>72000</v>
      </c>
      <c r="J110" s="37">
        <f t="shared" si="15"/>
        <v>0.9</v>
      </c>
      <c r="K110" s="37">
        <f t="shared" si="16"/>
        <v>1.3499999999999999</v>
      </c>
      <c r="M110" s="37">
        <f t="shared" si="17"/>
        <v>0.5625</v>
      </c>
      <c r="O110" s="4">
        <f t="shared" si="18"/>
        <v>270000</v>
      </c>
      <c r="Q110" s="4">
        <f t="shared" si="19"/>
        <v>22500</v>
      </c>
      <c r="S110" s="4">
        <f t="shared" si="20"/>
        <v>900</v>
      </c>
      <c r="U110" s="4">
        <f t="shared" si="23"/>
        <v>3240</v>
      </c>
      <c r="W110" s="4">
        <f t="shared" si="21"/>
        <v>270</v>
      </c>
      <c r="Y110" s="4">
        <f t="shared" si="22"/>
        <v>281.25</v>
      </c>
    </row>
    <row r="111" spans="1:25" hidden="1" outlineLevel="2" x14ac:dyDescent="0.35">
      <c r="A111" s="38" t="s">
        <v>362</v>
      </c>
      <c r="B111" s="39" t="s">
        <v>36</v>
      </c>
      <c r="C111" s="39" t="s">
        <v>363</v>
      </c>
      <c r="D111" s="39" t="s">
        <v>145</v>
      </c>
      <c r="E111" s="40" t="s">
        <v>146</v>
      </c>
      <c r="F111" s="39" t="s">
        <v>41</v>
      </c>
      <c r="G111" s="39" t="s">
        <v>62</v>
      </c>
      <c r="H111" s="41">
        <v>17</v>
      </c>
      <c r="I111" s="36">
        <f t="shared" si="14"/>
        <v>68000</v>
      </c>
      <c r="J111" s="37">
        <f t="shared" si="15"/>
        <v>0.85000000000000009</v>
      </c>
      <c r="K111" s="37">
        <f t="shared" si="16"/>
        <v>1.2749999999999999</v>
      </c>
      <c r="M111" s="37">
        <f t="shared" si="17"/>
        <v>0.53125</v>
      </c>
      <c r="O111" s="4">
        <f t="shared" si="18"/>
        <v>255000</v>
      </c>
      <c r="Q111" s="4">
        <f t="shared" si="19"/>
        <v>21250</v>
      </c>
      <c r="S111" s="4">
        <f t="shared" si="20"/>
        <v>850</v>
      </c>
      <c r="U111" s="4">
        <f t="shared" si="23"/>
        <v>3060</v>
      </c>
      <c r="W111" s="4">
        <f t="shared" si="21"/>
        <v>255</v>
      </c>
      <c r="Y111" s="4">
        <f t="shared" si="22"/>
        <v>265.625</v>
      </c>
    </row>
    <row r="112" spans="1:25" hidden="1" outlineLevel="2" x14ac:dyDescent="0.35">
      <c r="A112" s="38" t="s">
        <v>364</v>
      </c>
      <c r="B112" s="39" t="s">
        <v>36</v>
      </c>
      <c r="C112" s="39" t="s">
        <v>365</v>
      </c>
      <c r="D112" s="39" t="s">
        <v>366</v>
      </c>
      <c r="E112" s="40" t="s">
        <v>367</v>
      </c>
      <c r="F112" s="39" t="s">
        <v>41</v>
      </c>
      <c r="G112" s="39" t="s">
        <v>368</v>
      </c>
      <c r="H112" s="41">
        <v>16</v>
      </c>
      <c r="I112" s="36">
        <f t="shared" si="14"/>
        <v>64000</v>
      </c>
      <c r="J112" s="37">
        <f t="shared" si="15"/>
        <v>0.8</v>
      </c>
      <c r="K112" s="37">
        <f t="shared" si="16"/>
        <v>1.2</v>
      </c>
      <c r="M112" s="37">
        <f t="shared" si="17"/>
        <v>0.5</v>
      </c>
      <c r="O112" s="4">
        <f t="shared" si="18"/>
        <v>240000</v>
      </c>
      <c r="Q112" s="4">
        <f t="shared" si="19"/>
        <v>20000</v>
      </c>
      <c r="S112" s="4">
        <f t="shared" si="20"/>
        <v>800</v>
      </c>
      <c r="U112" s="4">
        <f t="shared" si="23"/>
        <v>2880</v>
      </c>
      <c r="W112" s="4">
        <f t="shared" si="21"/>
        <v>240</v>
      </c>
      <c r="Y112" s="4">
        <f t="shared" si="22"/>
        <v>250</v>
      </c>
    </row>
    <row r="113" spans="1:25" hidden="1" outlineLevel="2" x14ac:dyDescent="0.35">
      <c r="A113" s="38" t="s">
        <v>369</v>
      </c>
      <c r="B113" s="39" t="s">
        <v>36</v>
      </c>
      <c r="C113" s="39" t="s">
        <v>370</v>
      </c>
      <c r="D113" s="39" t="s">
        <v>145</v>
      </c>
      <c r="E113" s="40" t="s">
        <v>146</v>
      </c>
      <c r="F113" s="39" t="s">
        <v>41</v>
      </c>
      <c r="G113" s="39" t="s">
        <v>62</v>
      </c>
      <c r="H113" s="41">
        <v>16</v>
      </c>
      <c r="I113" s="36">
        <f t="shared" si="14"/>
        <v>64000</v>
      </c>
      <c r="J113" s="37">
        <f t="shared" si="15"/>
        <v>0.8</v>
      </c>
      <c r="K113" s="37">
        <f t="shared" si="16"/>
        <v>1.2</v>
      </c>
      <c r="M113" s="37">
        <f t="shared" si="17"/>
        <v>0.5</v>
      </c>
      <c r="O113" s="4">
        <f t="shared" si="18"/>
        <v>240000</v>
      </c>
      <c r="Q113" s="4">
        <f t="shared" si="19"/>
        <v>20000</v>
      </c>
      <c r="S113" s="4">
        <f t="shared" si="20"/>
        <v>800</v>
      </c>
      <c r="U113" s="4">
        <f t="shared" si="23"/>
        <v>2880</v>
      </c>
      <c r="W113" s="4">
        <f t="shared" si="21"/>
        <v>240</v>
      </c>
      <c r="Y113" s="4">
        <f t="shared" si="22"/>
        <v>250</v>
      </c>
    </row>
    <row r="114" spans="1:25" hidden="1" outlineLevel="2" x14ac:dyDescent="0.35">
      <c r="A114" s="38" t="s">
        <v>371</v>
      </c>
      <c r="B114" s="39" t="s">
        <v>36</v>
      </c>
      <c r="C114" s="39" t="s">
        <v>372</v>
      </c>
      <c r="D114" s="39" t="s">
        <v>373</v>
      </c>
      <c r="E114" s="40" t="s">
        <v>367</v>
      </c>
      <c r="F114" s="39" t="s">
        <v>41</v>
      </c>
      <c r="G114" s="39" t="s">
        <v>374</v>
      </c>
      <c r="H114" s="41">
        <v>16</v>
      </c>
      <c r="I114" s="36">
        <f t="shared" si="14"/>
        <v>64000</v>
      </c>
      <c r="J114" s="37">
        <f t="shared" si="15"/>
        <v>0.8</v>
      </c>
      <c r="K114" s="37">
        <f t="shared" si="16"/>
        <v>1.2</v>
      </c>
      <c r="M114" s="37">
        <f t="shared" si="17"/>
        <v>0.5</v>
      </c>
      <c r="O114" s="4">
        <f t="shared" si="18"/>
        <v>240000</v>
      </c>
      <c r="Q114" s="4">
        <f t="shared" si="19"/>
        <v>20000</v>
      </c>
      <c r="S114" s="4">
        <f t="shared" si="20"/>
        <v>800</v>
      </c>
      <c r="U114" s="4">
        <f t="shared" si="23"/>
        <v>2880</v>
      </c>
      <c r="W114" s="4">
        <f t="shared" si="21"/>
        <v>240</v>
      </c>
      <c r="Y114" s="4">
        <f t="shared" si="22"/>
        <v>250</v>
      </c>
    </row>
    <row r="115" spans="1:25" hidden="1" outlineLevel="2" x14ac:dyDescent="0.35">
      <c r="A115" s="38" t="s">
        <v>375</v>
      </c>
      <c r="B115" s="39" t="s">
        <v>36</v>
      </c>
      <c r="C115" s="39" t="s">
        <v>376</v>
      </c>
      <c r="D115" s="39" t="s">
        <v>377</v>
      </c>
      <c r="E115" s="40" t="s">
        <v>165</v>
      </c>
      <c r="F115" s="39" t="s">
        <v>41</v>
      </c>
      <c r="G115" s="39" t="s">
        <v>378</v>
      </c>
      <c r="H115" s="41">
        <v>14</v>
      </c>
      <c r="I115" s="36">
        <f t="shared" ref="I115:I146" si="24">$E$7*H115</f>
        <v>56000</v>
      </c>
      <c r="J115" s="37">
        <f t="shared" ref="J115:J130" si="25">H115*$F$7</f>
        <v>0.70000000000000007</v>
      </c>
      <c r="K115" s="37">
        <f t="shared" ref="K115:K130" si="26">H115*$G$7</f>
        <v>1.05</v>
      </c>
      <c r="M115" s="37">
        <f t="shared" si="17"/>
        <v>0.4375</v>
      </c>
      <c r="O115" s="4">
        <f t="shared" si="18"/>
        <v>210000</v>
      </c>
      <c r="Q115" s="4">
        <f t="shared" si="19"/>
        <v>17500</v>
      </c>
      <c r="S115" s="4">
        <f t="shared" si="20"/>
        <v>700</v>
      </c>
      <c r="U115" s="4">
        <f t="shared" si="23"/>
        <v>2520</v>
      </c>
      <c r="W115" s="4">
        <f t="shared" si="21"/>
        <v>210</v>
      </c>
      <c r="Y115" s="4">
        <f t="shared" si="22"/>
        <v>218.75</v>
      </c>
    </row>
    <row r="116" spans="1:25" hidden="1" outlineLevel="2" x14ac:dyDescent="0.35">
      <c r="A116" s="38" t="s">
        <v>379</v>
      </c>
      <c r="B116" s="39" t="s">
        <v>36</v>
      </c>
      <c r="C116" s="39" t="s">
        <v>380</v>
      </c>
      <c r="D116" s="39" t="s">
        <v>381</v>
      </c>
      <c r="E116" s="40" t="s">
        <v>106</v>
      </c>
      <c r="F116" s="39" t="s">
        <v>41</v>
      </c>
      <c r="G116" s="39" t="s">
        <v>382</v>
      </c>
      <c r="H116" s="41">
        <v>14</v>
      </c>
      <c r="I116" s="36">
        <f t="shared" si="24"/>
        <v>56000</v>
      </c>
      <c r="J116" s="37">
        <f t="shared" si="25"/>
        <v>0.70000000000000007</v>
      </c>
      <c r="K116" s="37">
        <f t="shared" si="26"/>
        <v>1.05</v>
      </c>
      <c r="M116" s="37">
        <f t="shared" si="17"/>
        <v>0.4375</v>
      </c>
      <c r="O116" s="4">
        <f t="shared" si="18"/>
        <v>210000</v>
      </c>
      <c r="Q116" s="4">
        <f t="shared" si="19"/>
        <v>17500</v>
      </c>
      <c r="S116" s="4">
        <f t="shared" si="20"/>
        <v>700</v>
      </c>
      <c r="U116" s="4">
        <f t="shared" si="23"/>
        <v>2520</v>
      </c>
      <c r="W116" s="4">
        <f t="shared" si="21"/>
        <v>210</v>
      </c>
      <c r="Y116" s="4">
        <f t="shared" si="22"/>
        <v>218.75</v>
      </c>
    </row>
    <row r="117" spans="1:25" hidden="1" outlineLevel="2" x14ac:dyDescent="0.35">
      <c r="A117" s="38" t="s">
        <v>383</v>
      </c>
      <c r="B117" s="39" t="s">
        <v>36</v>
      </c>
      <c r="C117" s="39" t="s">
        <v>384</v>
      </c>
      <c r="D117" s="39" t="s">
        <v>385</v>
      </c>
      <c r="E117" s="40" t="s">
        <v>91</v>
      </c>
      <c r="F117" s="39" t="s">
        <v>41</v>
      </c>
      <c r="G117" s="39" t="s">
        <v>386</v>
      </c>
      <c r="H117" s="41">
        <v>13</v>
      </c>
      <c r="I117" s="36">
        <f t="shared" si="24"/>
        <v>52000</v>
      </c>
      <c r="J117" s="37">
        <f t="shared" si="25"/>
        <v>0.65</v>
      </c>
      <c r="K117" s="37">
        <f t="shared" si="26"/>
        <v>0.97499999999999998</v>
      </c>
      <c r="M117" s="37">
        <f t="shared" si="17"/>
        <v>0.40625</v>
      </c>
      <c r="O117" s="4">
        <f t="shared" si="18"/>
        <v>195000</v>
      </c>
      <c r="Q117" s="4">
        <f t="shared" si="19"/>
        <v>16250</v>
      </c>
      <c r="S117" s="4">
        <f t="shared" si="20"/>
        <v>650</v>
      </c>
      <c r="U117" s="4">
        <f t="shared" si="23"/>
        <v>2340</v>
      </c>
      <c r="W117" s="4">
        <f t="shared" si="21"/>
        <v>195</v>
      </c>
      <c r="Y117" s="4">
        <f t="shared" si="22"/>
        <v>203.125</v>
      </c>
    </row>
    <row r="118" spans="1:25" hidden="1" outlineLevel="2" x14ac:dyDescent="0.35">
      <c r="A118" s="38" t="s">
        <v>387</v>
      </c>
      <c r="B118" s="39" t="s">
        <v>36</v>
      </c>
      <c r="C118" s="39" t="s">
        <v>388</v>
      </c>
      <c r="D118" s="39" t="s">
        <v>109</v>
      </c>
      <c r="E118" s="40" t="s">
        <v>100</v>
      </c>
      <c r="F118" s="39" t="s">
        <v>101</v>
      </c>
      <c r="G118" s="39" t="s">
        <v>389</v>
      </c>
      <c r="H118" s="41">
        <v>13</v>
      </c>
      <c r="I118" s="36">
        <f t="shared" si="24"/>
        <v>52000</v>
      </c>
      <c r="J118" s="37">
        <f t="shared" si="25"/>
        <v>0.65</v>
      </c>
      <c r="K118" s="37">
        <f t="shared" si="26"/>
        <v>0.97499999999999998</v>
      </c>
      <c r="M118" s="37">
        <f t="shared" si="17"/>
        <v>0.40625</v>
      </c>
      <c r="O118" s="4">
        <f t="shared" si="18"/>
        <v>195000</v>
      </c>
      <c r="Q118" s="4">
        <f t="shared" si="19"/>
        <v>16250</v>
      </c>
      <c r="S118" s="4">
        <f t="shared" si="20"/>
        <v>650</v>
      </c>
      <c r="U118" s="4">
        <f t="shared" si="23"/>
        <v>2340</v>
      </c>
      <c r="W118" s="4">
        <f t="shared" si="21"/>
        <v>195</v>
      </c>
      <c r="Y118" s="4">
        <f t="shared" si="22"/>
        <v>203.125</v>
      </c>
    </row>
    <row r="119" spans="1:25" hidden="1" outlineLevel="2" x14ac:dyDescent="0.35">
      <c r="A119" s="38" t="s">
        <v>390</v>
      </c>
      <c r="B119" s="39" t="s">
        <v>36</v>
      </c>
      <c r="C119" s="39" t="s">
        <v>391</v>
      </c>
      <c r="D119" s="39" t="s">
        <v>392</v>
      </c>
      <c r="E119" s="40" t="s">
        <v>393</v>
      </c>
      <c r="F119" s="39" t="s">
        <v>41</v>
      </c>
      <c r="G119" s="39" t="s">
        <v>394</v>
      </c>
      <c r="H119" s="41">
        <v>11</v>
      </c>
      <c r="I119" s="36">
        <f t="shared" si="24"/>
        <v>44000</v>
      </c>
      <c r="J119" s="37">
        <f t="shared" si="25"/>
        <v>0.55000000000000004</v>
      </c>
      <c r="K119" s="37">
        <f t="shared" si="26"/>
        <v>0.82499999999999996</v>
      </c>
      <c r="M119" s="37">
        <f t="shared" si="17"/>
        <v>0.34375</v>
      </c>
      <c r="O119" s="4">
        <f t="shared" si="18"/>
        <v>165000</v>
      </c>
      <c r="Q119" s="4">
        <f t="shared" si="19"/>
        <v>13750</v>
      </c>
      <c r="S119" s="4">
        <f t="shared" si="20"/>
        <v>550</v>
      </c>
      <c r="U119" s="4">
        <f t="shared" si="23"/>
        <v>1980</v>
      </c>
      <c r="W119" s="4">
        <f t="shared" si="21"/>
        <v>165</v>
      </c>
      <c r="Y119" s="4">
        <f t="shared" si="22"/>
        <v>171.875</v>
      </c>
    </row>
    <row r="120" spans="1:25" hidden="1" outlineLevel="2" x14ac:dyDescent="0.35">
      <c r="A120" s="38" t="s">
        <v>395</v>
      </c>
      <c r="B120" s="39" t="s">
        <v>36</v>
      </c>
      <c r="C120" s="39" t="s">
        <v>396</v>
      </c>
      <c r="D120" s="39" t="s">
        <v>397</v>
      </c>
      <c r="E120" s="40" t="s">
        <v>255</v>
      </c>
      <c r="F120" s="39" t="s">
        <v>41</v>
      </c>
      <c r="G120" s="39" t="s">
        <v>62</v>
      </c>
      <c r="H120" s="41">
        <v>8</v>
      </c>
      <c r="I120" s="36">
        <f t="shared" si="24"/>
        <v>32000</v>
      </c>
      <c r="J120" s="37">
        <f t="shared" si="25"/>
        <v>0.4</v>
      </c>
      <c r="K120" s="37">
        <f t="shared" si="26"/>
        <v>0.6</v>
      </c>
      <c r="M120" s="37">
        <f t="shared" si="17"/>
        <v>0.25</v>
      </c>
      <c r="O120" s="4">
        <f t="shared" si="18"/>
        <v>120000</v>
      </c>
      <c r="Q120" s="4">
        <f t="shared" si="19"/>
        <v>10000</v>
      </c>
      <c r="S120" s="4">
        <f t="shared" si="20"/>
        <v>400</v>
      </c>
      <c r="U120" s="4">
        <f t="shared" si="23"/>
        <v>1440</v>
      </c>
      <c r="W120" s="4">
        <f t="shared" si="21"/>
        <v>120</v>
      </c>
      <c r="Y120" s="4">
        <f t="shared" si="22"/>
        <v>125</v>
      </c>
    </row>
    <row r="121" spans="1:25" hidden="1" outlineLevel="2" x14ac:dyDescent="0.35">
      <c r="A121" s="38" t="s">
        <v>398</v>
      </c>
      <c r="B121" s="39" t="s">
        <v>36</v>
      </c>
      <c r="C121" s="39" t="s">
        <v>399</v>
      </c>
      <c r="D121" s="39" t="s">
        <v>109</v>
      </c>
      <c r="E121" s="40" t="s">
        <v>109</v>
      </c>
      <c r="F121" s="39" t="s">
        <v>41</v>
      </c>
      <c r="G121" s="39" t="s">
        <v>110</v>
      </c>
      <c r="H121" s="41">
        <v>7</v>
      </c>
      <c r="I121" s="36">
        <f t="shared" si="24"/>
        <v>28000</v>
      </c>
      <c r="J121" s="37">
        <f t="shared" si="25"/>
        <v>0.35000000000000003</v>
      </c>
      <c r="K121" s="37">
        <f t="shared" si="26"/>
        <v>0.52500000000000002</v>
      </c>
      <c r="M121" s="37">
        <f t="shared" si="17"/>
        <v>0.21875</v>
      </c>
      <c r="O121" s="4">
        <f t="shared" si="18"/>
        <v>105000</v>
      </c>
      <c r="Q121" s="4">
        <f t="shared" si="19"/>
        <v>8750</v>
      </c>
      <c r="S121" s="4">
        <f t="shared" si="20"/>
        <v>350</v>
      </c>
      <c r="U121" s="4">
        <f t="shared" si="23"/>
        <v>1260</v>
      </c>
      <c r="W121" s="4">
        <f t="shared" si="21"/>
        <v>105</v>
      </c>
      <c r="Y121" s="4">
        <f t="shared" si="22"/>
        <v>109.375</v>
      </c>
    </row>
    <row r="122" spans="1:25" hidden="1" outlineLevel="2" x14ac:dyDescent="0.35">
      <c r="A122" s="38" t="s">
        <v>400</v>
      </c>
      <c r="B122" s="39" t="s">
        <v>36</v>
      </c>
      <c r="C122" s="39" t="s">
        <v>401</v>
      </c>
      <c r="D122" s="39" t="s">
        <v>145</v>
      </c>
      <c r="E122" s="40" t="s">
        <v>146</v>
      </c>
      <c r="F122" s="39" t="s">
        <v>41</v>
      </c>
      <c r="G122" s="39" t="s">
        <v>62</v>
      </c>
      <c r="H122" s="41">
        <v>7</v>
      </c>
      <c r="I122" s="36">
        <f t="shared" si="24"/>
        <v>28000</v>
      </c>
      <c r="J122" s="37">
        <f t="shared" si="25"/>
        <v>0.35000000000000003</v>
      </c>
      <c r="K122" s="37">
        <f t="shared" si="26"/>
        <v>0.52500000000000002</v>
      </c>
      <c r="M122" s="37">
        <f t="shared" si="17"/>
        <v>0.21875</v>
      </c>
      <c r="O122" s="4">
        <f t="shared" si="18"/>
        <v>105000</v>
      </c>
      <c r="Q122" s="4">
        <f t="shared" si="19"/>
        <v>8750</v>
      </c>
      <c r="S122" s="4">
        <f t="shared" si="20"/>
        <v>350</v>
      </c>
      <c r="U122" s="4">
        <f t="shared" si="23"/>
        <v>1260</v>
      </c>
      <c r="W122" s="4">
        <f t="shared" si="21"/>
        <v>105</v>
      </c>
      <c r="Y122" s="4">
        <f t="shared" si="22"/>
        <v>109.375</v>
      </c>
    </row>
    <row r="123" spans="1:25" hidden="1" outlineLevel="2" x14ac:dyDescent="0.35">
      <c r="A123" s="38" t="s">
        <v>402</v>
      </c>
      <c r="B123" s="39" t="s">
        <v>36</v>
      </c>
      <c r="C123" s="39" t="s">
        <v>403</v>
      </c>
      <c r="D123" s="39" t="s">
        <v>109</v>
      </c>
      <c r="E123" s="40" t="s">
        <v>109</v>
      </c>
      <c r="F123" s="39" t="s">
        <v>41</v>
      </c>
      <c r="G123" s="39" t="s">
        <v>110</v>
      </c>
      <c r="H123" s="41">
        <v>7</v>
      </c>
      <c r="I123" s="36">
        <f t="shared" si="24"/>
        <v>28000</v>
      </c>
      <c r="J123" s="37">
        <f t="shared" si="25"/>
        <v>0.35000000000000003</v>
      </c>
      <c r="K123" s="37">
        <f t="shared" si="26"/>
        <v>0.52500000000000002</v>
      </c>
      <c r="M123" s="37">
        <f t="shared" si="17"/>
        <v>0.21875</v>
      </c>
      <c r="O123" s="4">
        <f t="shared" si="18"/>
        <v>105000</v>
      </c>
      <c r="Q123" s="4">
        <f t="shared" si="19"/>
        <v>8750</v>
      </c>
      <c r="S123" s="4">
        <f t="shared" si="20"/>
        <v>350</v>
      </c>
      <c r="U123" s="4">
        <f t="shared" si="23"/>
        <v>1260</v>
      </c>
      <c r="W123" s="4">
        <f t="shared" si="21"/>
        <v>105</v>
      </c>
      <c r="Y123" s="4">
        <f t="shared" si="22"/>
        <v>109.375</v>
      </c>
    </row>
    <row r="124" spans="1:25" hidden="1" outlineLevel="2" x14ac:dyDescent="0.35">
      <c r="A124" s="38" t="s">
        <v>404</v>
      </c>
      <c r="B124" s="39" t="s">
        <v>36</v>
      </c>
      <c r="C124" s="39" t="s">
        <v>405</v>
      </c>
      <c r="D124" s="39" t="s">
        <v>406</v>
      </c>
      <c r="E124" s="40" t="s">
        <v>211</v>
      </c>
      <c r="F124" s="39" t="s">
        <v>41</v>
      </c>
      <c r="G124" s="39" t="s">
        <v>407</v>
      </c>
      <c r="H124" s="41">
        <v>7</v>
      </c>
      <c r="I124" s="36">
        <f t="shared" si="24"/>
        <v>28000</v>
      </c>
      <c r="J124" s="37">
        <f t="shared" si="25"/>
        <v>0.35000000000000003</v>
      </c>
      <c r="K124" s="37">
        <f t="shared" si="26"/>
        <v>0.52500000000000002</v>
      </c>
      <c r="M124" s="37">
        <f t="shared" si="17"/>
        <v>0.21875</v>
      </c>
      <c r="O124" s="4">
        <f t="shared" si="18"/>
        <v>105000</v>
      </c>
      <c r="Q124" s="4">
        <f t="shared" si="19"/>
        <v>8750</v>
      </c>
      <c r="S124" s="4">
        <f t="shared" si="20"/>
        <v>350</v>
      </c>
      <c r="U124" s="4">
        <f t="shared" si="23"/>
        <v>1260</v>
      </c>
      <c r="W124" s="4">
        <f t="shared" si="21"/>
        <v>105</v>
      </c>
      <c r="Y124" s="4">
        <f t="shared" si="22"/>
        <v>109.375</v>
      </c>
    </row>
    <row r="125" spans="1:25" hidden="1" outlineLevel="2" x14ac:dyDescent="0.35">
      <c r="A125" s="38" t="s">
        <v>408</v>
      </c>
      <c r="B125" s="39" t="s">
        <v>36</v>
      </c>
      <c r="C125" s="39" t="s">
        <v>409</v>
      </c>
      <c r="D125" s="39" t="s">
        <v>410</v>
      </c>
      <c r="E125" s="40" t="s">
        <v>200</v>
      </c>
      <c r="F125" s="39" t="s">
        <v>41</v>
      </c>
      <c r="G125" s="39" t="s">
        <v>110</v>
      </c>
      <c r="H125" s="41">
        <v>6</v>
      </c>
      <c r="I125" s="36">
        <f t="shared" si="24"/>
        <v>24000</v>
      </c>
      <c r="J125" s="37">
        <f t="shared" si="25"/>
        <v>0.30000000000000004</v>
      </c>
      <c r="K125" s="37">
        <f t="shared" si="26"/>
        <v>0.44999999999999996</v>
      </c>
      <c r="M125" s="37">
        <f t="shared" si="17"/>
        <v>0.1875</v>
      </c>
      <c r="O125" s="4">
        <f t="shared" si="18"/>
        <v>90000</v>
      </c>
      <c r="Q125" s="4">
        <f t="shared" si="19"/>
        <v>7500</v>
      </c>
      <c r="S125" s="4">
        <f t="shared" si="20"/>
        <v>300</v>
      </c>
      <c r="U125" s="4">
        <f t="shared" si="23"/>
        <v>1080</v>
      </c>
      <c r="W125" s="4">
        <f t="shared" si="21"/>
        <v>90</v>
      </c>
      <c r="Y125" s="4">
        <f t="shared" si="22"/>
        <v>93.75</v>
      </c>
    </row>
    <row r="126" spans="1:25" hidden="1" outlineLevel="2" x14ac:dyDescent="0.35">
      <c r="A126" s="38" t="s">
        <v>411</v>
      </c>
      <c r="B126" s="39" t="s">
        <v>36</v>
      </c>
      <c r="C126" s="39" t="s">
        <v>412</v>
      </c>
      <c r="D126" s="39" t="s">
        <v>109</v>
      </c>
      <c r="E126" s="40" t="s">
        <v>109</v>
      </c>
      <c r="F126" s="39" t="s">
        <v>41</v>
      </c>
      <c r="G126" s="39" t="s">
        <v>110</v>
      </c>
      <c r="H126" s="41">
        <v>5</v>
      </c>
      <c r="I126" s="36">
        <f t="shared" si="24"/>
        <v>20000</v>
      </c>
      <c r="J126" s="37">
        <f t="shared" si="25"/>
        <v>0.25</v>
      </c>
      <c r="K126" s="37">
        <f t="shared" si="26"/>
        <v>0.375</v>
      </c>
      <c r="M126" s="37">
        <f t="shared" si="17"/>
        <v>0.15625</v>
      </c>
      <c r="O126" s="4">
        <f t="shared" si="18"/>
        <v>75000</v>
      </c>
      <c r="Q126" s="4">
        <f t="shared" si="19"/>
        <v>6250</v>
      </c>
      <c r="S126" s="4">
        <f t="shared" si="20"/>
        <v>250</v>
      </c>
      <c r="U126" s="4">
        <f t="shared" si="23"/>
        <v>900</v>
      </c>
      <c r="W126" s="4">
        <f t="shared" si="21"/>
        <v>75</v>
      </c>
      <c r="Y126" s="4">
        <f t="shared" si="22"/>
        <v>78.125</v>
      </c>
    </row>
    <row r="127" spans="1:25" hidden="1" outlineLevel="2" x14ac:dyDescent="0.35">
      <c r="A127" s="38" t="s">
        <v>413</v>
      </c>
      <c r="B127" s="39" t="s">
        <v>36</v>
      </c>
      <c r="C127" s="39" t="s">
        <v>414</v>
      </c>
      <c r="D127" s="39" t="s">
        <v>415</v>
      </c>
      <c r="E127" s="40" t="s">
        <v>66</v>
      </c>
      <c r="F127" s="39" t="s">
        <v>41</v>
      </c>
      <c r="G127" s="39" t="s">
        <v>110</v>
      </c>
      <c r="H127" s="41">
        <v>5</v>
      </c>
      <c r="I127" s="36">
        <f t="shared" si="24"/>
        <v>20000</v>
      </c>
      <c r="J127" s="37">
        <f t="shared" si="25"/>
        <v>0.25</v>
      </c>
      <c r="K127" s="37">
        <f t="shared" si="26"/>
        <v>0.375</v>
      </c>
      <c r="M127" s="37">
        <f t="shared" si="17"/>
        <v>0.15625</v>
      </c>
      <c r="O127" s="4">
        <f t="shared" si="18"/>
        <v>75000</v>
      </c>
      <c r="Q127" s="4">
        <f t="shared" si="19"/>
        <v>6250</v>
      </c>
      <c r="S127" s="4">
        <f t="shared" si="20"/>
        <v>250</v>
      </c>
      <c r="U127" s="4">
        <f t="shared" si="23"/>
        <v>900</v>
      </c>
      <c r="W127" s="4">
        <f t="shared" si="21"/>
        <v>75</v>
      </c>
      <c r="Y127" s="4">
        <f t="shared" si="22"/>
        <v>78.125</v>
      </c>
    </row>
    <row r="128" spans="1:25" hidden="1" outlineLevel="2" x14ac:dyDescent="0.35">
      <c r="A128" s="38" t="s">
        <v>416</v>
      </c>
      <c r="B128" s="39" t="s">
        <v>36</v>
      </c>
      <c r="C128" s="39" t="s">
        <v>417</v>
      </c>
      <c r="D128" s="39" t="s">
        <v>418</v>
      </c>
      <c r="E128" s="40" t="s">
        <v>165</v>
      </c>
      <c r="F128" s="39" t="s">
        <v>41</v>
      </c>
      <c r="G128" s="39" t="s">
        <v>42</v>
      </c>
      <c r="H128" s="41">
        <v>5</v>
      </c>
      <c r="I128" s="36">
        <f t="shared" si="24"/>
        <v>20000</v>
      </c>
      <c r="J128" s="37">
        <f t="shared" si="25"/>
        <v>0.25</v>
      </c>
      <c r="K128" s="37">
        <f t="shared" si="26"/>
        <v>0.375</v>
      </c>
      <c r="M128" s="37">
        <f t="shared" si="17"/>
        <v>0.15625</v>
      </c>
      <c r="O128" s="4">
        <f t="shared" si="18"/>
        <v>75000</v>
      </c>
      <c r="Q128" s="4">
        <f t="shared" si="19"/>
        <v>6250</v>
      </c>
      <c r="S128" s="4">
        <f t="shared" si="20"/>
        <v>250</v>
      </c>
      <c r="U128" s="4">
        <f t="shared" si="23"/>
        <v>900</v>
      </c>
      <c r="W128" s="4">
        <f t="shared" si="21"/>
        <v>75</v>
      </c>
      <c r="Y128" s="4">
        <f t="shared" si="22"/>
        <v>78.125</v>
      </c>
    </row>
    <row r="129" spans="1:25" hidden="1" outlineLevel="2" x14ac:dyDescent="0.35">
      <c r="A129" s="38" t="s">
        <v>419</v>
      </c>
      <c r="B129" s="39" t="s">
        <v>36</v>
      </c>
      <c r="C129" s="39" t="s">
        <v>420</v>
      </c>
      <c r="D129" s="39" t="s">
        <v>421</v>
      </c>
      <c r="E129" s="40" t="s">
        <v>255</v>
      </c>
      <c r="F129" s="39" t="s">
        <v>41</v>
      </c>
      <c r="G129" s="39" t="s">
        <v>62</v>
      </c>
      <c r="H129" s="41">
        <v>3</v>
      </c>
      <c r="I129" s="36">
        <f t="shared" si="24"/>
        <v>12000</v>
      </c>
      <c r="J129" s="37">
        <f t="shared" si="25"/>
        <v>0.15000000000000002</v>
      </c>
      <c r="K129" s="37">
        <f t="shared" si="26"/>
        <v>0.22499999999999998</v>
      </c>
      <c r="M129" s="37">
        <f t="shared" si="17"/>
        <v>9.375E-2</v>
      </c>
      <c r="O129" s="4">
        <f t="shared" si="18"/>
        <v>45000</v>
      </c>
      <c r="Q129" s="4">
        <f t="shared" si="19"/>
        <v>3750</v>
      </c>
      <c r="S129" s="4">
        <f t="shared" si="20"/>
        <v>150</v>
      </c>
      <c r="U129" s="4">
        <f t="shared" si="23"/>
        <v>540</v>
      </c>
      <c r="W129" s="4">
        <f t="shared" si="21"/>
        <v>45</v>
      </c>
      <c r="Y129" s="4">
        <f t="shared" si="22"/>
        <v>46.875</v>
      </c>
    </row>
    <row r="130" spans="1:25" hidden="1" outlineLevel="2" x14ac:dyDescent="0.35">
      <c r="A130" s="42" t="s">
        <v>422</v>
      </c>
      <c r="B130" s="43" t="s">
        <v>36</v>
      </c>
      <c r="C130" s="43" t="s">
        <v>423</v>
      </c>
      <c r="D130" s="43" t="s">
        <v>424</v>
      </c>
      <c r="E130" s="44" t="s">
        <v>51</v>
      </c>
      <c r="F130" s="43" t="s">
        <v>41</v>
      </c>
      <c r="G130" s="43" t="s">
        <v>425</v>
      </c>
      <c r="H130" s="45">
        <v>3</v>
      </c>
      <c r="I130" s="36">
        <f t="shared" si="24"/>
        <v>12000</v>
      </c>
      <c r="J130" s="37">
        <f t="shared" si="25"/>
        <v>0.15000000000000002</v>
      </c>
      <c r="K130" s="37">
        <f t="shared" si="26"/>
        <v>0.22499999999999998</v>
      </c>
      <c r="M130" s="37">
        <f t="shared" si="17"/>
        <v>9.375E-2</v>
      </c>
      <c r="O130" s="4">
        <f t="shared" si="18"/>
        <v>45000</v>
      </c>
      <c r="Q130" s="4">
        <f t="shared" si="19"/>
        <v>3750</v>
      </c>
      <c r="S130" s="4">
        <f t="shared" si="20"/>
        <v>150</v>
      </c>
      <c r="U130" s="4">
        <f t="shared" si="23"/>
        <v>540</v>
      </c>
      <c r="W130" s="4">
        <f t="shared" si="21"/>
        <v>45</v>
      </c>
      <c r="Y130" s="4">
        <f t="shared" si="22"/>
        <v>46.875</v>
      </c>
    </row>
    <row r="131" spans="1:25" hidden="1" outlineLevel="2" x14ac:dyDescent="0.35">
      <c r="A131" s="39"/>
      <c r="B131" s="39"/>
      <c r="C131" s="39"/>
      <c r="D131" s="39"/>
      <c r="E131" s="40"/>
      <c r="F131" s="39"/>
      <c r="G131" s="39"/>
      <c r="H131" s="41"/>
      <c r="I131" s="36"/>
      <c r="J131" s="37"/>
      <c r="K131" s="37"/>
      <c r="M131" s="37"/>
      <c r="S131" s="4"/>
      <c r="U131" s="4"/>
      <c r="W131" s="4"/>
      <c r="Y131" s="4"/>
    </row>
    <row r="132" spans="1:25" ht="12.5" collapsed="1" x14ac:dyDescent="0.25">
      <c r="A132" s="39"/>
      <c r="B132" s="39"/>
      <c r="C132" s="39"/>
      <c r="D132" s="39"/>
      <c r="E132" s="40"/>
      <c r="F132" s="39"/>
      <c r="G132" s="39"/>
      <c r="H132" s="41"/>
      <c r="I132" s="41"/>
      <c r="J132" s="41"/>
      <c r="M132" s="46"/>
      <c r="O132" s="41"/>
      <c r="Q132" s="41"/>
      <c r="Y132" s="3"/>
    </row>
    <row r="133" spans="1:25" ht="13" x14ac:dyDescent="0.3">
      <c r="A133" s="24" t="s">
        <v>426</v>
      </c>
      <c r="B133" s="25"/>
      <c r="C133" s="26">
        <f>COUNTA(A134:A152)</f>
        <v>19</v>
      </c>
      <c r="D133" s="25"/>
      <c r="E133" s="27"/>
      <c r="F133" s="25"/>
      <c r="G133" s="25"/>
      <c r="H133" s="28">
        <f>SUM(H134:H163)</f>
        <v>2673</v>
      </c>
      <c r="I133" s="28">
        <f>SUM(I134:I163)</f>
        <v>10692000</v>
      </c>
      <c r="J133" s="29">
        <f>SUM(J134:J163)</f>
        <v>133.65</v>
      </c>
      <c r="K133" s="29">
        <f>SUM(K134:K163)</f>
        <v>200.47499999999997</v>
      </c>
      <c r="M133" s="28">
        <f>SUM(M134:M152)</f>
        <v>83.53125</v>
      </c>
      <c r="O133" s="30">
        <f>SUM(O134:O163)</f>
        <v>40095000</v>
      </c>
      <c r="Q133" s="31">
        <f>SUM(Q134:Q163)</f>
        <v>3341250</v>
      </c>
      <c r="S133" s="31">
        <f>SUM(S134:S163)</f>
        <v>133650</v>
      </c>
      <c r="U133" s="31">
        <f>SUM(U134:U163)</f>
        <v>481140</v>
      </c>
      <c r="W133" s="31">
        <f>SUM(W134:W163)</f>
        <v>40095</v>
      </c>
      <c r="Y133" s="31">
        <f>SUM(Y134:Y163)</f>
        <v>41765.625</v>
      </c>
    </row>
    <row r="134" spans="1:25" hidden="1" outlineLevel="1" x14ac:dyDescent="0.35">
      <c r="A134" s="39" t="s">
        <v>427</v>
      </c>
      <c r="B134" s="39" t="s">
        <v>428</v>
      </c>
      <c r="C134" s="39" t="s">
        <v>429</v>
      </c>
      <c r="D134" s="39" t="s">
        <v>430</v>
      </c>
      <c r="E134" s="40" t="s">
        <v>431</v>
      </c>
      <c r="F134" s="39" t="s">
        <v>101</v>
      </c>
      <c r="G134" s="39" t="s">
        <v>432</v>
      </c>
      <c r="H134" s="41">
        <v>628</v>
      </c>
      <c r="I134" s="36">
        <f t="shared" ref="I134:I163" si="27">$E$7*H134</f>
        <v>2512000</v>
      </c>
      <c r="J134" s="37">
        <f t="shared" ref="J134:J163" si="28">H134*$F$7</f>
        <v>31.400000000000002</v>
      </c>
      <c r="K134" s="37">
        <f t="shared" ref="K134:K163" si="29">H134*$G$7</f>
        <v>47.1</v>
      </c>
      <c r="M134" s="37">
        <f>0.5*(AVERAGE(J134:K134))</f>
        <v>19.625</v>
      </c>
      <c r="O134" s="4">
        <f>I134*$E$3</f>
        <v>9420000</v>
      </c>
      <c r="Q134" s="4">
        <f>I134*$E$3/12</f>
        <v>785000</v>
      </c>
      <c r="S134" s="4">
        <f>Q134*$E$4</f>
        <v>31400</v>
      </c>
      <c r="U134" s="4">
        <f>W134*12</f>
        <v>113040</v>
      </c>
      <c r="W134" s="4">
        <f>S134*$E$5</f>
        <v>9420</v>
      </c>
      <c r="Y134" s="4">
        <f>M134*$E$6</f>
        <v>9812.5</v>
      </c>
    </row>
    <row r="135" spans="1:25" hidden="1" outlineLevel="1" x14ac:dyDescent="0.35">
      <c r="A135" s="39" t="s">
        <v>433</v>
      </c>
      <c r="B135" s="39" t="s">
        <v>428</v>
      </c>
      <c r="C135" s="39" t="s">
        <v>434</v>
      </c>
      <c r="D135" s="39" t="s">
        <v>435</v>
      </c>
      <c r="E135" s="40" t="s">
        <v>436</v>
      </c>
      <c r="F135" s="39" t="s">
        <v>41</v>
      </c>
      <c r="G135" s="39" t="s">
        <v>437</v>
      </c>
      <c r="H135" s="41">
        <v>509</v>
      </c>
      <c r="I135" s="36">
        <f t="shared" si="27"/>
        <v>2036000</v>
      </c>
      <c r="J135" s="37">
        <f t="shared" si="28"/>
        <v>25.450000000000003</v>
      </c>
      <c r="K135" s="37">
        <f t="shared" si="29"/>
        <v>38.174999999999997</v>
      </c>
      <c r="M135" s="37">
        <f t="shared" ref="M135:M163" si="30">0.5*(AVERAGE(J135:K135))</f>
        <v>15.90625</v>
      </c>
      <c r="O135" s="4">
        <f t="shared" ref="O135:O163" si="31">I135*$E$3</f>
        <v>7635000</v>
      </c>
      <c r="Q135" s="4">
        <f t="shared" ref="Q135:Q163" si="32">I135*$E$3/12</f>
        <v>636250</v>
      </c>
      <c r="S135" s="4">
        <f t="shared" ref="S135:S163" si="33">Q135*$E$4</f>
        <v>25450</v>
      </c>
      <c r="U135" s="4">
        <f t="shared" ref="U135:U163" si="34">W135*12</f>
        <v>91620</v>
      </c>
      <c r="W135" s="4">
        <f t="shared" ref="W135:W163" si="35">S135*$E$5</f>
        <v>7635</v>
      </c>
      <c r="Y135" s="4">
        <f t="shared" ref="Y135:Y163" si="36">M135*$E$6</f>
        <v>7953.125</v>
      </c>
    </row>
    <row r="136" spans="1:25" hidden="1" outlineLevel="1" x14ac:dyDescent="0.35">
      <c r="A136" s="39" t="s">
        <v>438</v>
      </c>
      <c r="B136" s="39" t="s">
        <v>428</v>
      </c>
      <c r="C136" s="39" t="s">
        <v>439</v>
      </c>
      <c r="D136" s="39" t="s">
        <v>440</v>
      </c>
      <c r="E136" s="40" t="s">
        <v>441</v>
      </c>
      <c r="F136" s="39" t="s">
        <v>101</v>
      </c>
      <c r="G136" s="39" t="s">
        <v>432</v>
      </c>
      <c r="H136" s="41">
        <v>281</v>
      </c>
      <c r="I136" s="36">
        <f t="shared" si="27"/>
        <v>1124000</v>
      </c>
      <c r="J136" s="37">
        <f t="shared" si="28"/>
        <v>14.05</v>
      </c>
      <c r="K136" s="37">
        <f t="shared" si="29"/>
        <v>21.074999999999999</v>
      </c>
      <c r="M136" s="37">
        <f t="shared" si="30"/>
        <v>8.78125</v>
      </c>
      <c r="O136" s="4">
        <f t="shared" si="31"/>
        <v>4215000</v>
      </c>
      <c r="Q136" s="4">
        <f t="shared" si="32"/>
        <v>351250</v>
      </c>
      <c r="S136" s="4">
        <f t="shared" si="33"/>
        <v>14050</v>
      </c>
      <c r="U136" s="4">
        <f t="shared" si="34"/>
        <v>50580</v>
      </c>
      <c r="W136" s="4">
        <f t="shared" si="35"/>
        <v>4215</v>
      </c>
      <c r="Y136" s="4">
        <f t="shared" si="36"/>
        <v>4390.625</v>
      </c>
    </row>
    <row r="137" spans="1:25" hidden="1" outlineLevel="1" x14ac:dyDescent="0.35">
      <c r="A137" s="39" t="s">
        <v>442</v>
      </c>
      <c r="B137" s="39" t="s">
        <v>428</v>
      </c>
      <c r="C137" s="39" t="s">
        <v>443</v>
      </c>
      <c r="D137" s="39" t="s">
        <v>444</v>
      </c>
      <c r="E137" s="40" t="s">
        <v>106</v>
      </c>
      <c r="F137" s="39" t="s">
        <v>41</v>
      </c>
      <c r="G137" s="39" t="s">
        <v>445</v>
      </c>
      <c r="H137" s="41">
        <v>222</v>
      </c>
      <c r="I137" s="36">
        <f t="shared" si="27"/>
        <v>888000</v>
      </c>
      <c r="J137" s="37">
        <f t="shared" si="28"/>
        <v>11.100000000000001</v>
      </c>
      <c r="K137" s="37">
        <f t="shared" si="29"/>
        <v>16.649999999999999</v>
      </c>
      <c r="M137" s="37">
        <f t="shared" si="30"/>
        <v>6.9375</v>
      </c>
      <c r="O137" s="4">
        <f t="shared" si="31"/>
        <v>3330000</v>
      </c>
      <c r="Q137" s="4">
        <f t="shared" si="32"/>
        <v>277500</v>
      </c>
      <c r="S137" s="4">
        <f t="shared" si="33"/>
        <v>11100</v>
      </c>
      <c r="U137" s="4">
        <f t="shared" si="34"/>
        <v>39960</v>
      </c>
      <c r="W137" s="4">
        <f t="shared" si="35"/>
        <v>3330</v>
      </c>
      <c r="Y137" s="4">
        <f t="shared" si="36"/>
        <v>3468.75</v>
      </c>
    </row>
    <row r="138" spans="1:25" hidden="1" outlineLevel="1" x14ac:dyDescent="0.35">
      <c r="A138" s="39" t="s">
        <v>446</v>
      </c>
      <c r="B138" s="39" t="s">
        <v>428</v>
      </c>
      <c r="C138" s="39" t="s">
        <v>447</v>
      </c>
      <c r="D138" s="39" t="s">
        <v>448</v>
      </c>
      <c r="E138" s="40" t="s">
        <v>200</v>
      </c>
      <c r="F138" s="39" t="s">
        <v>41</v>
      </c>
      <c r="G138" s="39" t="s">
        <v>432</v>
      </c>
      <c r="H138" s="41">
        <v>161</v>
      </c>
      <c r="I138" s="36">
        <f t="shared" si="27"/>
        <v>644000</v>
      </c>
      <c r="J138" s="37">
        <f t="shared" si="28"/>
        <v>8.0500000000000007</v>
      </c>
      <c r="K138" s="37">
        <f t="shared" si="29"/>
        <v>12.074999999999999</v>
      </c>
      <c r="M138" s="37">
        <f t="shared" si="30"/>
        <v>5.03125</v>
      </c>
      <c r="O138" s="4">
        <f t="shared" si="31"/>
        <v>2415000</v>
      </c>
      <c r="Q138" s="4">
        <f t="shared" si="32"/>
        <v>201250</v>
      </c>
      <c r="S138" s="4">
        <f t="shared" si="33"/>
        <v>8050</v>
      </c>
      <c r="U138" s="4">
        <f t="shared" si="34"/>
        <v>28980</v>
      </c>
      <c r="W138" s="4">
        <f t="shared" si="35"/>
        <v>2415</v>
      </c>
      <c r="Y138" s="4">
        <f t="shared" si="36"/>
        <v>2515.625</v>
      </c>
    </row>
    <row r="139" spans="1:25" hidden="1" outlineLevel="1" x14ac:dyDescent="0.35">
      <c r="A139" s="39" t="s">
        <v>449</v>
      </c>
      <c r="B139" s="39" t="s">
        <v>428</v>
      </c>
      <c r="C139" s="39" t="s">
        <v>450</v>
      </c>
      <c r="D139" s="39" t="s">
        <v>451</v>
      </c>
      <c r="E139" s="40" t="s">
        <v>452</v>
      </c>
      <c r="F139" s="39" t="s">
        <v>41</v>
      </c>
      <c r="G139" s="39" t="s">
        <v>453</v>
      </c>
      <c r="H139" s="41">
        <v>155</v>
      </c>
      <c r="I139" s="36">
        <f t="shared" si="27"/>
        <v>620000</v>
      </c>
      <c r="J139" s="37">
        <f t="shared" si="28"/>
        <v>7.75</v>
      </c>
      <c r="K139" s="37">
        <f t="shared" si="29"/>
        <v>11.625</v>
      </c>
      <c r="M139" s="37">
        <f t="shared" si="30"/>
        <v>4.84375</v>
      </c>
      <c r="O139" s="4">
        <f t="shared" si="31"/>
        <v>2325000</v>
      </c>
      <c r="Q139" s="4">
        <f t="shared" si="32"/>
        <v>193750</v>
      </c>
      <c r="S139" s="4">
        <f t="shared" si="33"/>
        <v>7750</v>
      </c>
      <c r="U139" s="4">
        <f t="shared" si="34"/>
        <v>27900</v>
      </c>
      <c r="W139" s="4">
        <f t="shared" si="35"/>
        <v>2325</v>
      </c>
      <c r="Y139" s="4">
        <f t="shared" si="36"/>
        <v>2421.875</v>
      </c>
    </row>
    <row r="140" spans="1:25" hidden="1" outlineLevel="1" x14ac:dyDescent="0.35">
      <c r="A140" s="39" t="s">
        <v>454</v>
      </c>
      <c r="B140" s="39" t="s">
        <v>428</v>
      </c>
      <c r="C140" s="39" t="s">
        <v>455</v>
      </c>
      <c r="D140" s="39" t="s">
        <v>456</v>
      </c>
      <c r="E140" s="40" t="s">
        <v>191</v>
      </c>
      <c r="F140" s="39" t="s">
        <v>41</v>
      </c>
      <c r="G140" s="39" t="s">
        <v>457</v>
      </c>
      <c r="H140" s="41">
        <v>120</v>
      </c>
      <c r="I140" s="36">
        <f t="shared" si="27"/>
        <v>480000</v>
      </c>
      <c r="J140" s="37">
        <f t="shared" si="28"/>
        <v>6</v>
      </c>
      <c r="K140" s="37">
        <f t="shared" si="29"/>
        <v>9</v>
      </c>
      <c r="M140" s="37">
        <f t="shared" si="30"/>
        <v>3.75</v>
      </c>
      <c r="O140" s="4">
        <f t="shared" si="31"/>
        <v>1800000</v>
      </c>
      <c r="Q140" s="4">
        <f t="shared" si="32"/>
        <v>150000</v>
      </c>
      <c r="S140" s="4">
        <f t="shared" si="33"/>
        <v>6000</v>
      </c>
      <c r="U140" s="4">
        <f t="shared" si="34"/>
        <v>21600</v>
      </c>
      <c r="W140" s="4">
        <f t="shared" si="35"/>
        <v>1800</v>
      </c>
      <c r="Y140" s="4">
        <f t="shared" si="36"/>
        <v>1875</v>
      </c>
    </row>
    <row r="141" spans="1:25" hidden="1" outlineLevel="1" x14ac:dyDescent="0.35">
      <c r="A141" s="39" t="s">
        <v>458</v>
      </c>
      <c r="B141" s="39" t="s">
        <v>428</v>
      </c>
      <c r="C141" s="39" t="s">
        <v>459</v>
      </c>
      <c r="D141" s="39" t="s">
        <v>460</v>
      </c>
      <c r="E141" s="40" t="s">
        <v>452</v>
      </c>
      <c r="F141" s="39" t="s">
        <v>41</v>
      </c>
      <c r="G141" s="39" t="s">
        <v>432</v>
      </c>
      <c r="H141" s="41">
        <v>111</v>
      </c>
      <c r="I141" s="36">
        <f t="shared" si="27"/>
        <v>444000</v>
      </c>
      <c r="J141" s="37">
        <f t="shared" si="28"/>
        <v>5.5500000000000007</v>
      </c>
      <c r="K141" s="37">
        <f t="shared" si="29"/>
        <v>8.3249999999999993</v>
      </c>
      <c r="M141" s="37">
        <f t="shared" si="30"/>
        <v>3.46875</v>
      </c>
      <c r="O141" s="4">
        <f t="shared" si="31"/>
        <v>1665000</v>
      </c>
      <c r="Q141" s="4">
        <f t="shared" si="32"/>
        <v>138750</v>
      </c>
      <c r="S141" s="4">
        <f t="shared" si="33"/>
        <v>5550</v>
      </c>
      <c r="U141" s="4">
        <f t="shared" si="34"/>
        <v>19980</v>
      </c>
      <c r="W141" s="4">
        <f t="shared" si="35"/>
        <v>1665</v>
      </c>
      <c r="Y141" s="4">
        <f t="shared" si="36"/>
        <v>1734.375</v>
      </c>
    </row>
    <row r="142" spans="1:25" hidden="1" outlineLevel="1" x14ac:dyDescent="0.35">
      <c r="A142" s="39" t="s">
        <v>461</v>
      </c>
      <c r="B142" s="39" t="s">
        <v>428</v>
      </c>
      <c r="C142" s="39" t="s">
        <v>462</v>
      </c>
      <c r="D142" s="39" t="s">
        <v>463</v>
      </c>
      <c r="E142" s="40" t="s">
        <v>114</v>
      </c>
      <c r="F142" s="39" t="s">
        <v>41</v>
      </c>
      <c r="G142" s="39" t="s">
        <v>432</v>
      </c>
      <c r="H142" s="41">
        <v>105</v>
      </c>
      <c r="I142" s="36">
        <f t="shared" si="27"/>
        <v>420000</v>
      </c>
      <c r="J142" s="37">
        <f t="shared" si="28"/>
        <v>5.25</v>
      </c>
      <c r="K142" s="37">
        <f t="shared" si="29"/>
        <v>7.875</v>
      </c>
      <c r="M142" s="37">
        <f t="shared" si="30"/>
        <v>3.28125</v>
      </c>
      <c r="O142" s="4">
        <f t="shared" si="31"/>
        <v>1575000</v>
      </c>
      <c r="Q142" s="4">
        <f t="shared" si="32"/>
        <v>131250</v>
      </c>
      <c r="S142" s="4">
        <f t="shared" si="33"/>
        <v>5250</v>
      </c>
      <c r="U142" s="4">
        <f t="shared" si="34"/>
        <v>18900</v>
      </c>
      <c r="W142" s="4">
        <f t="shared" si="35"/>
        <v>1575</v>
      </c>
      <c r="Y142" s="4">
        <f t="shared" si="36"/>
        <v>1640.625</v>
      </c>
    </row>
    <row r="143" spans="1:25" hidden="1" outlineLevel="1" x14ac:dyDescent="0.35">
      <c r="A143" s="39" t="s">
        <v>464</v>
      </c>
      <c r="B143" s="39" t="s">
        <v>428</v>
      </c>
      <c r="C143" s="39" t="s">
        <v>465</v>
      </c>
      <c r="D143" s="39" t="s">
        <v>466</v>
      </c>
      <c r="E143" s="40" t="s">
        <v>114</v>
      </c>
      <c r="F143" s="39" t="s">
        <v>41</v>
      </c>
      <c r="G143" s="39" t="s">
        <v>467</v>
      </c>
      <c r="H143" s="41">
        <v>57</v>
      </c>
      <c r="I143" s="36">
        <f t="shared" si="27"/>
        <v>228000</v>
      </c>
      <c r="J143" s="37">
        <f t="shared" si="28"/>
        <v>2.85</v>
      </c>
      <c r="K143" s="37">
        <f t="shared" si="29"/>
        <v>4.2749999999999995</v>
      </c>
      <c r="M143" s="37">
        <f t="shared" si="30"/>
        <v>1.78125</v>
      </c>
      <c r="O143" s="4">
        <f t="shared" si="31"/>
        <v>855000</v>
      </c>
      <c r="Q143" s="4">
        <f t="shared" si="32"/>
        <v>71250</v>
      </c>
      <c r="S143" s="4">
        <f t="shared" si="33"/>
        <v>2850</v>
      </c>
      <c r="U143" s="4">
        <f t="shared" si="34"/>
        <v>10260</v>
      </c>
      <c r="W143" s="4">
        <f t="shared" si="35"/>
        <v>855</v>
      </c>
      <c r="Y143" s="4">
        <f t="shared" si="36"/>
        <v>890.625</v>
      </c>
    </row>
    <row r="144" spans="1:25" hidden="1" outlineLevel="1" x14ac:dyDescent="0.35">
      <c r="A144" s="39" t="s">
        <v>468</v>
      </c>
      <c r="B144" s="39" t="s">
        <v>428</v>
      </c>
      <c r="C144" s="39" t="s">
        <v>469</v>
      </c>
      <c r="D144" s="39" t="s">
        <v>470</v>
      </c>
      <c r="E144" s="40" t="s">
        <v>106</v>
      </c>
      <c r="F144" s="39" t="s">
        <v>41</v>
      </c>
      <c r="G144" s="39" t="s">
        <v>432</v>
      </c>
      <c r="H144" s="41">
        <v>55</v>
      </c>
      <c r="I144" s="36">
        <f t="shared" si="27"/>
        <v>220000</v>
      </c>
      <c r="J144" s="37">
        <f t="shared" si="28"/>
        <v>2.75</v>
      </c>
      <c r="K144" s="37">
        <f t="shared" si="29"/>
        <v>4.125</v>
      </c>
      <c r="M144" s="37">
        <f t="shared" si="30"/>
        <v>1.71875</v>
      </c>
      <c r="O144" s="4">
        <f t="shared" si="31"/>
        <v>825000</v>
      </c>
      <c r="Q144" s="4">
        <f t="shared" si="32"/>
        <v>68750</v>
      </c>
      <c r="S144" s="4">
        <f t="shared" si="33"/>
        <v>2750</v>
      </c>
      <c r="U144" s="4">
        <f t="shared" si="34"/>
        <v>9900</v>
      </c>
      <c r="W144" s="4">
        <f t="shared" si="35"/>
        <v>825</v>
      </c>
      <c r="Y144" s="4">
        <f t="shared" si="36"/>
        <v>859.375</v>
      </c>
    </row>
    <row r="145" spans="1:25" hidden="1" outlineLevel="1" x14ac:dyDescent="0.35">
      <c r="A145" s="39" t="s">
        <v>471</v>
      </c>
      <c r="B145" s="39" t="s">
        <v>428</v>
      </c>
      <c r="C145" s="39" t="s">
        <v>472</v>
      </c>
      <c r="D145" s="39" t="s">
        <v>473</v>
      </c>
      <c r="E145" s="40" t="s">
        <v>238</v>
      </c>
      <c r="F145" s="39" t="s">
        <v>41</v>
      </c>
      <c r="G145" s="39" t="s">
        <v>110</v>
      </c>
      <c r="H145" s="41">
        <v>54</v>
      </c>
      <c r="I145" s="36">
        <f t="shared" si="27"/>
        <v>216000</v>
      </c>
      <c r="J145" s="37">
        <f t="shared" si="28"/>
        <v>2.7</v>
      </c>
      <c r="K145" s="37">
        <f t="shared" si="29"/>
        <v>4.05</v>
      </c>
      <c r="M145" s="37">
        <f t="shared" si="30"/>
        <v>1.6875</v>
      </c>
      <c r="O145" s="4">
        <f t="shared" si="31"/>
        <v>810000</v>
      </c>
      <c r="Q145" s="4">
        <f t="shared" si="32"/>
        <v>67500</v>
      </c>
      <c r="S145" s="4">
        <f t="shared" si="33"/>
        <v>2700</v>
      </c>
      <c r="U145" s="4">
        <f t="shared" si="34"/>
        <v>9720</v>
      </c>
      <c r="W145" s="4">
        <f t="shared" si="35"/>
        <v>810</v>
      </c>
      <c r="Y145" s="4">
        <f t="shared" si="36"/>
        <v>843.75</v>
      </c>
    </row>
    <row r="146" spans="1:25" hidden="1" outlineLevel="1" x14ac:dyDescent="0.35">
      <c r="A146" s="39" t="s">
        <v>474</v>
      </c>
      <c r="B146" s="39" t="s">
        <v>428</v>
      </c>
      <c r="C146" s="39" t="s">
        <v>109</v>
      </c>
      <c r="D146" s="39" t="s">
        <v>475</v>
      </c>
      <c r="E146" s="40" t="s">
        <v>66</v>
      </c>
      <c r="F146" s="39" t="s">
        <v>41</v>
      </c>
      <c r="G146" s="39" t="s">
        <v>110</v>
      </c>
      <c r="H146" s="41">
        <v>51</v>
      </c>
      <c r="I146" s="36">
        <f t="shared" si="27"/>
        <v>204000</v>
      </c>
      <c r="J146" s="37">
        <f t="shared" si="28"/>
        <v>2.5500000000000003</v>
      </c>
      <c r="K146" s="37">
        <f t="shared" si="29"/>
        <v>3.8249999999999997</v>
      </c>
      <c r="M146" s="37">
        <f t="shared" si="30"/>
        <v>1.59375</v>
      </c>
      <c r="O146" s="4">
        <f t="shared" si="31"/>
        <v>765000</v>
      </c>
      <c r="Q146" s="4">
        <f t="shared" si="32"/>
        <v>63750</v>
      </c>
      <c r="S146" s="4">
        <f t="shared" si="33"/>
        <v>2550</v>
      </c>
      <c r="U146" s="4">
        <f t="shared" si="34"/>
        <v>9180</v>
      </c>
      <c r="W146" s="4">
        <f t="shared" si="35"/>
        <v>765</v>
      </c>
      <c r="Y146" s="4">
        <f t="shared" si="36"/>
        <v>796.875</v>
      </c>
    </row>
    <row r="147" spans="1:25" hidden="1" outlineLevel="1" x14ac:dyDescent="0.35">
      <c r="A147" s="39" t="s">
        <v>476</v>
      </c>
      <c r="B147" s="39" t="s">
        <v>428</v>
      </c>
      <c r="C147" s="39" t="s">
        <v>477</v>
      </c>
      <c r="D147" s="39" t="s">
        <v>478</v>
      </c>
      <c r="E147" s="40" t="s">
        <v>165</v>
      </c>
      <c r="F147" s="39" t="s">
        <v>41</v>
      </c>
      <c r="G147" s="39" t="s">
        <v>479</v>
      </c>
      <c r="H147" s="41">
        <v>33</v>
      </c>
      <c r="I147" s="36">
        <f t="shared" si="27"/>
        <v>132000</v>
      </c>
      <c r="J147" s="37">
        <f t="shared" si="28"/>
        <v>1.6500000000000001</v>
      </c>
      <c r="K147" s="37">
        <f t="shared" si="29"/>
        <v>2.4750000000000001</v>
      </c>
      <c r="M147" s="37">
        <f t="shared" si="30"/>
        <v>1.03125</v>
      </c>
      <c r="O147" s="4">
        <f t="shared" si="31"/>
        <v>495000</v>
      </c>
      <c r="Q147" s="4">
        <f t="shared" si="32"/>
        <v>41250</v>
      </c>
      <c r="S147" s="4">
        <f t="shared" si="33"/>
        <v>1650</v>
      </c>
      <c r="U147" s="4">
        <f t="shared" si="34"/>
        <v>5940</v>
      </c>
      <c r="W147" s="4">
        <f t="shared" si="35"/>
        <v>495</v>
      </c>
      <c r="Y147" s="4">
        <f t="shared" si="36"/>
        <v>515.625</v>
      </c>
    </row>
    <row r="148" spans="1:25" hidden="1" outlineLevel="1" x14ac:dyDescent="0.35">
      <c r="A148" s="39" t="s">
        <v>480</v>
      </c>
      <c r="B148" s="39" t="s">
        <v>428</v>
      </c>
      <c r="C148" s="39" t="s">
        <v>481</v>
      </c>
      <c r="D148" s="39" t="s">
        <v>482</v>
      </c>
      <c r="E148" s="40" t="s">
        <v>138</v>
      </c>
      <c r="F148" s="39" t="s">
        <v>41</v>
      </c>
      <c r="G148" s="39" t="s">
        <v>110</v>
      </c>
      <c r="H148" s="41">
        <v>32</v>
      </c>
      <c r="I148" s="36">
        <f t="shared" si="27"/>
        <v>128000</v>
      </c>
      <c r="J148" s="37">
        <f t="shared" si="28"/>
        <v>1.6</v>
      </c>
      <c r="K148" s="37">
        <f t="shared" si="29"/>
        <v>2.4</v>
      </c>
      <c r="M148" s="37">
        <f t="shared" si="30"/>
        <v>1</v>
      </c>
      <c r="O148" s="4">
        <f t="shared" si="31"/>
        <v>480000</v>
      </c>
      <c r="Q148" s="4">
        <f t="shared" si="32"/>
        <v>40000</v>
      </c>
      <c r="S148" s="4">
        <f t="shared" si="33"/>
        <v>1600</v>
      </c>
      <c r="U148" s="4">
        <f t="shared" si="34"/>
        <v>5760</v>
      </c>
      <c r="W148" s="4">
        <f t="shared" si="35"/>
        <v>480</v>
      </c>
      <c r="Y148" s="4">
        <f t="shared" si="36"/>
        <v>500</v>
      </c>
    </row>
    <row r="149" spans="1:25" hidden="1" outlineLevel="1" x14ac:dyDescent="0.35">
      <c r="A149" s="39" t="s">
        <v>483</v>
      </c>
      <c r="B149" s="39" t="s">
        <v>428</v>
      </c>
      <c r="C149" s="39" t="s">
        <v>484</v>
      </c>
      <c r="D149" s="39" t="s">
        <v>485</v>
      </c>
      <c r="E149" s="40" t="s">
        <v>165</v>
      </c>
      <c r="F149" s="39" t="s">
        <v>41</v>
      </c>
      <c r="G149" s="39" t="s">
        <v>432</v>
      </c>
      <c r="H149" s="41">
        <v>31</v>
      </c>
      <c r="I149" s="36">
        <f t="shared" si="27"/>
        <v>124000</v>
      </c>
      <c r="J149" s="37">
        <f t="shared" si="28"/>
        <v>1.55</v>
      </c>
      <c r="K149" s="37">
        <f t="shared" si="29"/>
        <v>2.3249999999999997</v>
      </c>
      <c r="M149" s="37">
        <f t="shared" si="30"/>
        <v>0.96875</v>
      </c>
      <c r="O149" s="4">
        <f t="shared" si="31"/>
        <v>465000</v>
      </c>
      <c r="Q149" s="4">
        <f t="shared" si="32"/>
        <v>38750</v>
      </c>
      <c r="S149" s="4">
        <f t="shared" si="33"/>
        <v>1550</v>
      </c>
      <c r="U149" s="4">
        <f t="shared" si="34"/>
        <v>5580</v>
      </c>
      <c r="W149" s="4">
        <f t="shared" si="35"/>
        <v>465</v>
      </c>
      <c r="Y149" s="4">
        <f t="shared" si="36"/>
        <v>484.375</v>
      </c>
    </row>
    <row r="150" spans="1:25" hidden="1" outlineLevel="1" x14ac:dyDescent="0.35">
      <c r="A150" s="39" t="s">
        <v>486</v>
      </c>
      <c r="B150" s="39" t="s">
        <v>428</v>
      </c>
      <c r="C150" s="39" t="s">
        <v>487</v>
      </c>
      <c r="D150" s="39" t="s">
        <v>488</v>
      </c>
      <c r="E150" s="40" t="s">
        <v>66</v>
      </c>
      <c r="F150" s="39" t="s">
        <v>41</v>
      </c>
      <c r="G150" s="39" t="s">
        <v>432</v>
      </c>
      <c r="H150" s="41">
        <v>26</v>
      </c>
      <c r="I150" s="36">
        <f t="shared" si="27"/>
        <v>104000</v>
      </c>
      <c r="J150" s="37">
        <f t="shared" si="28"/>
        <v>1.3</v>
      </c>
      <c r="K150" s="37">
        <f t="shared" si="29"/>
        <v>1.95</v>
      </c>
      <c r="M150" s="37">
        <f t="shared" si="30"/>
        <v>0.8125</v>
      </c>
      <c r="O150" s="4">
        <f t="shared" si="31"/>
        <v>390000</v>
      </c>
      <c r="Q150" s="4">
        <f t="shared" si="32"/>
        <v>32500</v>
      </c>
      <c r="S150" s="4">
        <f t="shared" si="33"/>
        <v>1300</v>
      </c>
      <c r="U150" s="4">
        <f t="shared" si="34"/>
        <v>4680</v>
      </c>
      <c r="W150" s="4">
        <f t="shared" si="35"/>
        <v>390</v>
      </c>
      <c r="Y150" s="4">
        <f t="shared" si="36"/>
        <v>406.25</v>
      </c>
    </row>
    <row r="151" spans="1:25" hidden="1" outlineLevel="1" x14ac:dyDescent="0.35">
      <c r="A151" s="39" t="s">
        <v>489</v>
      </c>
      <c r="B151" s="39" t="s">
        <v>428</v>
      </c>
      <c r="C151" s="39" t="s">
        <v>490</v>
      </c>
      <c r="D151" s="39" t="s">
        <v>491</v>
      </c>
      <c r="E151" s="40" t="s">
        <v>91</v>
      </c>
      <c r="F151" s="39" t="s">
        <v>41</v>
      </c>
      <c r="G151" s="39" t="s">
        <v>492</v>
      </c>
      <c r="H151" s="41">
        <v>25</v>
      </c>
      <c r="I151" s="36">
        <f t="shared" si="27"/>
        <v>100000</v>
      </c>
      <c r="J151" s="37">
        <f t="shared" si="28"/>
        <v>1.25</v>
      </c>
      <c r="K151" s="37">
        <f t="shared" si="29"/>
        <v>1.875</v>
      </c>
      <c r="M151" s="37">
        <f t="shared" si="30"/>
        <v>0.78125</v>
      </c>
      <c r="O151" s="4">
        <f t="shared" si="31"/>
        <v>375000</v>
      </c>
      <c r="Q151" s="4">
        <f t="shared" si="32"/>
        <v>31250</v>
      </c>
      <c r="S151" s="4">
        <f t="shared" si="33"/>
        <v>1250</v>
      </c>
      <c r="U151" s="4">
        <f t="shared" si="34"/>
        <v>4500</v>
      </c>
      <c r="W151" s="4">
        <f t="shared" si="35"/>
        <v>375</v>
      </c>
      <c r="Y151" s="4">
        <f t="shared" si="36"/>
        <v>390.625</v>
      </c>
    </row>
    <row r="152" spans="1:25" hidden="1" outlineLevel="1" x14ac:dyDescent="0.35">
      <c r="A152" s="39" t="s">
        <v>493</v>
      </c>
      <c r="B152" s="39" t="s">
        <v>428</v>
      </c>
      <c r="C152" s="39" t="s">
        <v>494</v>
      </c>
      <c r="D152" s="39" t="s">
        <v>495</v>
      </c>
      <c r="E152" s="40" t="s">
        <v>106</v>
      </c>
      <c r="F152" s="39" t="s">
        <v>41</v>
      </c>
      <c r="G152" s="39" t="s">
        <v>432</v>
      </c>
      <c r="H152" s="41">
        <v>17</v>
      </c>
      <c r="I152" s="36">
        <f t="shared" si="27"/>
        <v>68000</v>
      </c>
      <c r="J152" s="37">
        <f t="shared" si="28"/>
        <v>0.85000000000000009</v>
      </c>
      <c r="K152" s="37">
        <f t="shared" si="29"/>
        <v>1.2749999999999999</v>
      </c>
      <c r="M152" s="37">
        <f t="shared" si="30"/>
        <v>0.53125</v>
      </c>
      <c r="O152" s="4">
        <f t="shared" si="31"/>
        <v>255000</v>
      </c>
      <c r="Q152" s="4">
        <f t="shared" si="32"/>
        <v>21250</v>
      </c>
      <c r="S152" s="4">
        <f t="shared" si="33"/>
        <v>850</v>
      </c>
      <c r="U152" s="4">
        <f t="shared" si="34"/>
        <v>3060</v>
      </c>
      <c r="W152" s="4">
        <f t="shared" si="35"/>
        <v>255</v>
      </c>
      <c r="Y152" s="4">
        <f t="shared" si="36"/>
        <v>265.625</v>
      </c>
    </row>
    <row r="153" spans="1:25" hidden="1" outlineLevel="1" x14ac:dyDescent="0.35">
      <c r="A153" s="39" t="s">
        <v>496</v>
      </c>
      <c r="B153" s="39" t="s">
        <v>428</v>
      </c>
      <c r="C153" s="39" t="s">
        <v>109</v>
      </c>
      <c r="D153" s="39" t="s">
        <v>109</v>
      </c>
      <c r="E153" s="40" t="s">
        <v>109</v>
      </c>
      <c r="F153" s="39" t="s">
        <v>41</v>
      </c>
      <c r="G153" s="39" t="s">
        <v>110</v>
      </c>
      <c r="H153" s="47">
        <v>0</v>
      </c>
      <c r="I153" s="36">
        <f t="shared" si="27"/>
        <v>0</v>
      </c>
      <c r="J153" s="37">
        <f t="shared" si="28"/>
        <v>0</v>
      </c>
      <c r="K153" s="37">
        <f t="shared" si="29"/>
        <v>0</v>
      </c>
      <c r="M153" s="37">
        <f t="shared" si="30"/>
        <v>0</v>
      </c>
      <c r="O153" s="4">
        <f t="shared" si="31"/>
        <v>0</v>
      </c>
      <c r="Q153" s="4">
        <f t="shared" si="32"/>
        <v>0</v>
      </c>
      <c r="S153" s="4">
        <f t="shared" si="33"/>
        <v>0</v>
      </c>
      <c r="U153" s="4">
        <f t="shared" si="34"/>
        <v>0</v>
      </c>
      <c r="W153" s="4">
        <f t="shared" si="35"/>
        <v>0</v>
      </c>
      <c r="Y153" s="4">
        <f t="shared" si="36"/>
        <v>0</v>
      </c>
    </row>
    <row r="154" spans="1:25" hidden="1" outlineLevel="1" x14ac:dyDescent="0.35">
      <c r="A154" s="39" t="s">
        <v>497</v>
      </c>
      <c r="B154" s="39" t="s">
        <v>428</v>
      </c>
      <c r="C154" s="39" t="s">
        <v>498</v>
      </c>
      <c r="D154" s="39" t="s">
        <v>499</v>
      </c>
      <c r="E154" s="40" t="s">
        <v>66</v>
      </c>
      <c r="F154" s="39" t="s">
        <v>41</v>
      </c>
      <c r="G154" s="39" t="s">
        <v>432</v>
      </c>
      <c r="H154" s="47">
        <v>0</v>
      </c>
      <c r="I154" s="36">
        <f t="shared" si="27"/>
        <v>0</v>
      </c>
      <c r="J154" s="37">
        <f t="shared" si="28"/>
        <v>0</v>
      </c>
      <c r="K154" s="37">
        <f t="shared" si="29"/>
        <v>0</v>
      </c>
      <c r="M154" s="37">
        <f t="shared" si="30"/>
        <v>0</v>
      </c>
      <c r="O154" s="4">
        <f t="shared" si="31"/>
        <v>0</v>
      </c>
      <c r="Q154" s="4">
        <f t="shared" si="32"/>
        <v>0</v>
      </c>
      <c r="S154" s="4">
        <f t="shared" si="33"/>
        <v>0</v>
      </c>
      <c r="U154" s="4">
        <f t="shared" si="34"/>
        <v>0</v>
      </c>
      <c r="W154" s="4">
        <f t="shared" si="35"/>
        <v>0</v>
      </c>
      <c r="Y154" s="4">
        <f t="shared" si="36"/>
        <v>0</v>
      </c>
    </row>
    <row r="155" spans="1:25" hidden="1" outlineLevel="1" x14ac:dyDescent="0.35">
      <c r="A155" s="39" t="s">
        <v>500</v>
      </c>
      <c r="B155" s="39" t="s">
        <v>428</v>
      </c>
      <c r="C155" s="39" t="s">
        <v>501</v>
      </c>
      <c r="D155" s="39" t="s">
        <v>109</v>
      </c>
      <c r="E155" s="40" t="s">
        <v>109</v>
      </c>
      <c r="F155" s="39" t="s">
        <v>41</v>
      </c>
      <c r="G155" s="39" t="s">
        <v>110</v>
      </c>
      <c r="H155" s="47">
        <v>0</v>
      </c>
      <c r="I155" s="36">
        <f t="shared" si="27"/>
        <v>0</v>
      </c>
      <c r="J155" s="37">
        <f t="shared" si="28"/>
        <v>0</v>
      </c>
      <c r="K155" s="37">
        <f t="shared" si="29"/>
        <v>0</v>
      </c>
      <c r="M155" s="37">
        <f t="shared" si="30"/>
        <v>0</v>
      </c>
      <c r="O155" s="4">
        <f t="shared" si="31"/>
        <v>0</v>
      </c>
      <c r="Q155" s="4">
        <f t="shared" si="32"/>
        <v>0</v>
      </c>
      <c r="S155" s="4">
        <f t="shared" si="33"/>
        <v>0</v>
      </c>
      <c r="U155" s="4">
        <f t="shared" si="34"/>
        <v>0</v>
      </c>
      <c r="W155" s="4">
        <f t="shared" si="35"/>
        <v>0</v>
      </c>
      <c r="Y155" s="4">
        <f t="shared" si="36"/>
        <v>0</v>
      </c>
    </row>
    <row r="156" spans="1:25" hidden="1" outlineLevel="1" x14ac:dyDescent="0.35">
      <c r="A156" s="39" t="s">
        <v>502</v>
      </c>
      <c r="B156" s="39" t="s">
        <v>428</v>
      </c>
      <c r="C156" s="39" t="s">
        <v>503</v>
      </c>
      <c r="D156" s="39" t="s">
        <v>504</v>
      </c>
      <c r="E156" s="40" t="s">
        <v>452</v>
      </c>
      <c r="F156" s="39" t="s">
        <v>41</v>
      </c>
      <c r="G156" s="39" t="s">
        <v>432</v>
      </c>
      <c r="H156" s="47">
        <v>0</v>
      </c>
      <c r="I156" s="36">
        <f t="shared" si="27"/>
        <v>0</v>
      </c>
      <c r="J156" s="37">
        <f t="shared" si="28"/>
        <v>0</v>
      </c>
      <c r="K156" s="37">
        <f t="shared" si="29"/>
        <v>0</v>
      </c>
      <c r="M156" s="37">
        <f t="shared" si="30"/>
        <v>0</v>
      </c>
      <c r="O156" s="4">
        <f t="shared" si="31"/>
        <v>0</v>
      </c>
      <c r="Q156" s="4">
        <f t="shared" si="32"/>
        <v>0</v>
      </c>
      <c r="S156" s="4">
        <f t="shared" si="33"/>
        <v>0</v>
      </c>
      <c r="U156" s="4">
        <f t="shared" si="34"/>
        <v>0</v>
      </c>
      <c r="W156" s="4">
        <f t="shared" si="35"/>
        <v>0</v>
      </c>
      <c r="Y156" s="4">
        <f t="shared" si="36"/>
        <v>0</v>
      </c>
    </row>
    <row r="157" spans="1:25" hidden="1" outlineLevel="1" x14ac:dyDescent="0.35">
      <c r="A157" s="39" t="s">
        <v>505</v>
      </c>
      <c r="B157" s="39" t="s">
        <v>428</v>
      </c>
      <c r="C157" s="39" t="s">
        <v>506</v>
      </c>
      <c r="D157" s="39" t="s">
        <v>109</v>
      </c>
      <c r="E157" s="40" t="s">
        <v>507</v>
      </c>
      <c r="F157" s="39" t="s">
        <v>41</v>
      </c>
      <c r="G157" s="39" t="s">
        <v>508</v>
      </c>
      <c r="H157" s="47">
        <v>0</v>
      </c>
      <c r="I157" s="36">
        <f t="shared" si="27"/>
        <v>0</v>
      </c>
      <c r="J157" s="37">
        <f t="shared" si="28"/>
        <v>0</v>
      </c>
      <c r="K157" s="37">
        <f t="shared" si="29"/>
        <v>0</v>
      </c>
      <c r="M157" s="37">
        <f t="shared" si="30"/>
        <v>0</v>
      </c>
      <c r="O157" s="4">
        <f t="shared" si="31"/>
        <v>0</v>
      </c>
      <c r="Q157" s="4">
        <f t="shared" si="32"/>
        <v>0</v>
      </c>
      <c r="S157" s="4">
        <f t="shared" si="33"/>
        <v>0</v>
      </c>
      <c r="U157" s="4">
        <f t="shared" si="34"/>
        <v>0</v>
      </c>
      <c r="W157" s="4">
        <f t="shared" si="35"/>
        <v>0</v>
      </c>
      <c r="Y157" s="4">
        <f t="shared" si="36"/>
        <v>0</v>
      </c>
    </row>
    <row r="158" spans="1:25" hidden="1" outlineLevel="1" x14ac:dyDescent="0.35">
      <c r="A158" s="39" t="s">
        <v>509</v>
      </c>
      <c r="B158" s="39" t="s">
        <v>428</v>
      </c>
      <c r="C158" s="39" t="s">
        <v>510</v>
      </c>
      <c r="D158" s="39" t="s">
        <v>109</v>
      </c>
      <c r="E158" s="40" t="s">
        <v>507</v>
      </c>
      <c r="F158" s="39" t="s">
        <v>41</v>
      </c>
      <c r="G158" s="39" t="s">
        <v>432</v>
      </c>
      <c r="H158" s="47">
        <v>0</v>
      </c>
      <c r="I158" s="36">
        <f t="shared" si="27"/>
        <v>0</v>
      </c>
      <c r="J158" s="37">
        <f t="shared" si="28"/>
        <v>0</v>
      </c>
      <c r="K158" s="37">
        <f t="shared" si="29"/>
        <v>0</v>
      </c>
      <c r="M158" s="37">
        <f t="shared" si="30"/>
        <v>0</v>
      </c>
      <c r="O158" s="4">
        <f t="shared" si="31"/>
        <v>0</v>
      </c>
      <c r="Q158" s="4">
        <f t="shared" si="32"/>
        <v>0</v>
      </c>
      <c r="S158" s="4">
        <f t="shared" si="33"/>
        <v>0</v>
      </c>
      <c r="U158" s="4">
        <f t="shared" si="34"/>
        <v>0</v>
      </c>
      <c r="W158" s="4">
        <f t="shared" si="35"/>
        <v>0</v>
      </c>
      <c r="Y158" s="4">
        <f t="shared" si="36"/>
        <v>0</v>
      </c>
    </row>
    <row r="159" spans="1:25" hidden="1" outlineLevel="1" x14ac:dyDescent="0.35">
      <c r="A159" s="39" t="s">
        <v>511</v>
      </c>
      <c r="B159" s="39" t="s">
        <v>428</v>
      </c>
      <c r="C159" s="39" t="s">
        <v>512</v>
      </c>
      <c r="D159" s="39" t="s">
        <v>513</v>
      </c>
      <c r="E159" s="40" t="s">
        <v>114</v>
      </c>
      <c r="F159" s="39" t="s">
        <v>41</v>
      </c>
      <c r="G159" s="39" t="s">
        <v>432</v>
      </c>
      <c r="H159" s="47">
        <v>0</v>
      </c>
      <c r="I159" s="36">
        <f t="shared" si="27"/>
        <v>0</v>
      </c>
      <c r="J159" s="37">
        <f t="shared" si="28"/>
        <v>0</v>
      </c>
      <c r="K159" s="37">
        <f t="shared" si="29"/>
        <v>0</v>
      </c>
      <c r="M159" s="37">
        <f t="shared" si="30"/>
        <v>0</v>
      </c>
      <c r="O159" s="4">
        <f t="shared" si="31"/>
        <v>0</v>
      </c>
      <c r="Q159" s="4">
        <f t="shared" si="32"/>
        <v>0</v>
      </c>
      <c r="S159" s="4">
        <f t="shared" si="33"/>
        <v>0</v>
      </c>
      <c r="U159" s="4">
        <f t="shared" si="34"/>
        <v>0</v>
      </c>
      <c r="W159" s="4">
        <f t="shared" si="35"/>
        <v>0</v>
      </c>
      <c r="Y159" s="4">
        <f t="shared" si="36"/>
        <v>0</v>
      </c>
    </row>
    <row r="160" spans="1:25" hidden="1" outlineLevel="1" x14ac:dyDescent="0.35">
      <c r="A160" s="39" t="s">
        <v>514</v>
      </c>
      <c r="B160" s="39" t="s">
        <v>428</v>
      </c>
      <c r="C160" s="39" t="s">
        <v>109</v>
      </c>
      <c r="D160" s="39" t="s">
        <v>109</v>
      </c>
      <c r="E160" s="40" t="s">
        <v>109</v>
      </c>
      <c r="F160" s="39" t="s">
        <v>41</v>
      </c>
      <c r="G160" s="39" t="s">
        <v>110</v>
      </c>
      <c r="H160" s="47">
        <v>0</v>
      </c>
      <c r="I160" s="36">
        <f t="shared" si="27"/>
        <v>0</v>
      </c>
      <c r="J160" s="37">
        <f t="shared" si="28"/>
        <v>0</v>
      </c>
      <c r="K160" s="37">
        <f t="shared" si="29"/>
        <v>0</v>
      </c>
      <c r="M160" s="37">
        <f t="shared" si="30"/>
        <v>0</v>
      </c>
      <c r="O160" s="4">
        <f t="shared" si="31"/>
        <v>0</v>
      </c>
      <c r="Q160" s="4">
        <f t="shared" si="32"/>
        <v>0</v>
      </c>
      <c r="S160" s="4">
        <f t="shared" si="33"/>
        <v>0</v>
      </c>
      <c r="U160" s="4">
        <f t="shared" si="34"/>
        <v>0</v>
      </c>
      <c r="W160" s="4">
        <f t="shared" si="35"/>
        <v>0</v>
      </c>
      <c r="Y160" s="4">
        <f t="shared" si="36"/>
        <v>0</v>
      </c>
    </row>
    <row r="161" spans="1:26" hidden="1" outlineLevel="1" x14ac:dyDescent="0.35">
      <c r="A161" s="39" t="s">
        <v>515</v>
      </c>
      <c r="B161" s="39" t="s">
        <v>428</v>
      </c>
      <c r="C161" s="39" t="s">
        <v>516</v>
      </c>
      <c r="D161" s="39" t="s">
        <v>109</v>
      </c>
      <c r="E161" s="40" t="s">
        <v>66</v>
      </c>
      <c r="F161" s="39" t="s">
        <v>41</v>
      </c>
      <c r="G161" s="39" t="s">
        <v>110</v>
      </c>
      <c r="H161" s="47">
        <v>0</v>
      </c>
      <c r="I161" s="36">
        <f t="shared" si="27"/>
        <v>0</v>
      </c>
      <c r="J161" s="37">
        <f t="shared" si="28"/>
        <v>0</v>
      </c>
      <c r="K161" s="37">
        <f t="shared" si="29"/>
        <v>0</v>
      </c>
      <c r="M161" s="37">
        <f t="shared" si="30"/>
        <v>0</v>
      </c>
      <c r="O161" s="4">
        <f t="shared" si="31"/>
        <v>0</v>
      </c>
      <c r="Q161" s="4">
        <f t="shared" si="32"/>
        <v>0</v>
      </c>
      <c r="S161" s="4">
        <f t="shared" si="33"/>
        <v>0</v>
      </c>
      <c r="U161" s="4">
        <f t="shared" si="34"/>
        <v>0</v>
      </c>
      <c r="W161" s="4">
        <f t="shared" si="35"/>
        <v>0</v>
      </c>
      <c r="Y161" s="4">
        <f t="shared" si="36"/>
        <v>0</v>
      </c>
    </row>
    <row r="162" spans="1:26" hidden="1" outlineLevel="1" x14ac:dyDescent="0.35">
      <c r="A162" s="39" t="s">
        <v>517</v>
      </c>
      <c r="B162" s="39" t="s">
        <v>428</v>
      </c>
      <c r="C162" s="39" t="s">
        <v>109</v>
      </c>
      <c r="D162" s="39" t="s">
        <v>109</v>
      </c>
      <c r="E162" s="40" t="s">
        <v>109</v>
      </c>
      <c r="F162" s="39" t="s">
        <v>41</v>
      </c>
      <c r="G162" s="39" t="s">
        <v>110</v>
      </c>
      <c r="H162" s="47">
        <v>0</v>
      </c>
      <c r="I162" s="36">
        <f t="shared" si="27"/>
        <v>0</v>
      </c>
      <c r="J162" s="37">
        <f t="shared" si="28"/>
        <v>0</v>
      </c>
      <c r="K162" s="37">
        <f t="shared" si="29"/>
        <v>0</v>
      </c>
      <c r="M162" s="37">
        <f t="shared" si="30"/>
        <v>0</v>
      </c>
      <c r="O162" s="4">
        <f t="shared" si="31"/>
        <v>0</v>
      </c>
      <c r="Q162" s="4">
        <f t="shared" si="32"/>
        <v>0</v>
      </c>
      <c r="S162" s="4">
        <f t="shared" si="33"/>
        <v>0</v>
      </c>
      <c r="U162" s="4">
        <f t="shared" si="34"/>
        <v>0</v>
      </c>
      <c r="W162" s="4">
        <f t="shared" si="35"/>
        <v>0</v>
      </c>
      <c r="Y162" s="4">
        <f t="shared" si="36"/>
        <v>0</v>
      </c>
    </row>
    <row r="163" spans="1:26" hidden="1" outlineLevel="1" x14ac:dyDescent="0.35">
      <c r="A163" s="39" t="s">
        <v>518</v>
      </c>
      <c r="B163" s="39" t="s">
        <v>428</v>
      </c>
      <c r="C163" s="39" t="s">
        <v>109</v>
      </c>
      <c r="D163" s="39" t="s">
        <v>519</v>
      </c>
      <c r="E163" s="40" t="s">
        <v>230</v>
      </c>
      <c r="F163" s="39" t="s">
        <v>41</v>
      </c>
      <c r="G163" s="39" t="s">
        <v>110</v>
      </c>
      <c r="H163" s="47">
        <v>0</v>
      </c>
      <c r="I163" s="36">
        <f t="shared" si="27"/>
        <v>0</v>
      </c>
      <c r="J163" s="37">
        <f t="shared" si="28"/>
        <v>0</v>
      </c>
      <c r="K163" s="37">
        <f t="shared" si="29"/>
        <v>0</v>
      </c>
      <c r="M163" s="37">
        <f t="shared" si="30"/>
        <v>0</v>
      </c>
      <c r="O163" s="4">
        <f t="shared" si="31"/>
        <v>0</v>
      </c>
      <c r="Q163" s="4">
        <f t="shared" si="32"/>
        <v>0</v>
      </c>
      <c r="S163" s="4">
        <f t="shared" si="33"/>
        <v>0</v>
      </c>
      <c r="U163" s="4">
        <f t="shared" si="34"/>
        <v>0</v>
      </c>
      <c r="W163" s="4">
        <f t="shared" si="35"/>
        <v>0</v>
      </c>
      <c r="Y163" s="4">
        <f t="shared" si="36"/>
        <v>0</v>
      </c>
    </row>
    <row r="164" spans="1:26" ht="12.5" hidden="1" outlineLevel="1" x14ac:dyDescent="0.2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M164" s="40"/>
      <c r="O164" s="39"/>
      <c r="Q164" s="39"/>
      <c r="S164" s="39"/>
      <c r="U164" s="39"/>
      <c r="W164" s="39"/>
      <c r="Y164" s="40"/>
      <c r="Z164" s="39"/>
    </row>
    <row r="165" spans="1:26" ht="12.5" collapsed="1" x14ac:dyDescent="0.25">
      <c r="A165" s="39"/>
      <c r="B165" s="39"/>
      <c r="C165" s="39"/>
      <c r="D165" s="39"/>
      <c r="E165" s="40"/>
      <c r="F165" s="39"/>
      <c r="G165" s="39"/>
      <c r="H165" s="41"/>
      <c r="I165" s="41"/>
      <c r="J165" s="41"/>
      <c r="M165" s="46"/>
      <c r="O165" s="41"/>
      <c r="Q165" s="41"/>
      <c r="Y165" s="3"/>
    </row>
    <row r="166" spans="1:26" ht="13" x14ac:dyDescent="0.3">
      <c r="A166" s="24" t="s">
        <v>520</v>
      </c>
      <c r="B166" s="25"/>
      <c r="C166" s="26">
        <f>COUNTA(A167:A181)</f>
        <v>15</v>
      </c>
      <c r="D166" s="25"/>
      <c r="E166" s="27"/>
      <c r="F166" s="25"/>
      <c r="G166" s="25"/>
      <c r="H166" s="28">
        <f>SUM(H167:H181)</f>
        <v>3728</v>
      </c>
      <c r="I166" s="28">
        <f>SUM(I167:I181)</f>
        <v>14912000</v>
      </c>
      <c r="J166" s="29">
        <f>SUM(J167:J181)</f>
        <v>186.40000000000006</v>
      </c>
      <c r="K166" s="29">
        <f>SUM(K167:K181)</f>
        <v>279.59999999999997</v>
      </c>
      <c r="M166" s="28">
        <f>SUM(M167:M181)</f>
        <v>116.5</v>
      </c>
      <c r="O166" s="30">
        <f>SUM(O167:O196)</f>
        <v>55920000</v>
      </c>
      <c r="Q166" s="31">
        <f>SUM(Q167:Q196)</f>
        <v>4660000</v>
      </c>
      <c r="S166" s="31">
        <f>SUM(S167:S196)</f>
        <v>186400</v>
      </c>
      <c r="U166" s="31">
        <f>SUM(U167:U196)</f>
        <v>671040</v>
      </c>
      <c r="W166" s="31">
        <f>SUM(W167:W196)</f>
        <v>55920</v>
      </c>
      <c r="Y166" s="31">
        <f>SUM(Y167:Y196)</f>
        <v>58250</v>
      </c>
    </row>
    <row r="167" spans="1:26" ht="14.5" hidden="1" customHeight="1" outlineLevel="1" x14ac:dyDescent="0.35">
      <c r="A167" s="39" t="s">
        <v>521</v>
      </c>
      <c r="B167" s="39" t="s">
        <v>522</v>
      </c>
      <c r="C167" s="39" t="s">
        <v>523</v>
      </c>
      <c r="D167" s="39" t="s">
        <v>524</v>
      </c>
      <c r="E167" s="40" t="s">
        <v>40</v>
      </c>
      <c r="F167" s="39" t="s">
        <v>41</v>
      </c>
      <c r="G167" s="39" t="s">
        <v>525</v>
      </c>
      <c r="H167" s="41">
        <v>904</v>
      </c>
      <c r="I167" s="36">
        <f t="shared" ref="I167:I207" si="37">$E$7*H167</f>
        <v>3616000</v>
      </c>
      <c r="J167" s="37">
        <f t="shared" ref="J167:J207" si="38">H167*$F$7</f>
        <v>45.2</v>
      </c>
      <c r="K167" s="37">
        <f t="shared" ref="K167:K207" si="39">H167*$G$7</f>
        <v>67.8</v>
      </c>
      <c r="M167" s="37">
        <f t="shared" ref="M167:M207" si="40">0.5*(AVERAGE(J167:K167))</f>
        <v>28.25</v>
      </c>
      <c r="O167" s="4">
        <f t="shared" ref="O167:O207" si="41">I167*$E$3</f>
        <v>13560000</v>
      </c>
      <c r="Q167" s="4">
        <f t="shared" ref="Q167:Q207" si="42">I167*$E$3/12</f>
        <v>1130000</v>
      </c>
      <c r="S167" s="4">
        <f t="shared" ref="S167:S207" si="43">Q167*$E$4</f>
        <v>45200</v>
      </c>
      <c r="U167" s="4">
        <f>W167*12</f>
        <v>162720</v>
      </c>
      <c r="W167" s="4">
        <f t="shared" ref="W167:W207" si="44">S167*$E$5</f>
        <v>13560</v>
      </c>
      <c r="Y167" s="4">
        <f t="shared" ref="Y167:Y207" si="45">M167*$E$6</f>
        <v>14125</v>
      </c>
    </row>
    <row r="168" spans="1:26" ht="14.5" hidden="1" customHeight="1" outlineLevel="1" x14ac:dyDescent="0.35">
      <c r="A168" s="39" t="s">
        <v>526</v>
      </c>
      <c r="B168" s="39" t="s">
        <v>522</v>
      </c>
      <c r="C168" s="39" t="s">
        <v>527</v>
      </c>
      <c r="D168" s="39" t="s">
        <v>528</v>
      </c>
      <c r="E168" s="40" t="s">
        <v>40</v>
      </c>
      <c r="F168" s="39" t="s">
        <v>41</v>
      </c>
      <c r="G168" s="39" t="s">
        <v>529</v>
      </c>
      <c r="H168" s="41">
        <v>802</v>
      </c>
      <c r="I168" s="36">
        <f t="shared" si="37"/>
        <v>3208000</v>
      </c>
      <c r="J168" s="37">
        <f t="shared" si="38"/>
        <v>40.1</v>
      </c>
      <c r="K168" s="37">
        <f t="shared" si="39"/>
        <v>60.15</v>
      </c>
      <c r="M168" s="37">
        <f t="shared" si="40"/>
        <v>25.0625</v>
      </c>
      <c r="O168" s="4">
        <f t="shared" si="41"/>
        <v>12030000</v>
      </c>
      <c r="Q168" s="4">
        <f t="shared" si="42"/>
        <v>1002500</v>
      </c>
      <c r="S168" s="4">
        <f t="shared" si="43"/>
        <v>40100</v>
      </c>
      <c r="U168" s="4">
        <f t="shared" ref="U168:U207" si="46">W168*12</f>
        <v>144360</v>
      </c>
      <c r="W168" s="4">
        <f t="shared" si="44"/>
        <v>12030</v>
      </c>
      <c r="Y168" s="4">
        <f t="shared" si="45"/>
        <v>12531.25</v>
      </c>
    </row>
    <row r="169" spans="1:26" ht="14.5" hidden="1" customHeight="1" outlineLevel="1" x14ac:dyDescent="0.35">
      <c r="A169" s="39" t="s">
        <v>530</v>
      </c>
      <c r="B169" s="39" t="s">
        <v>522</v>
      </c>
      <c r="C169" s="39" t="s">
        <v>531</v>
      </c>
      <c r="D169" s="39" t="s">
        <v>532</v>
      </c>
      <c r="E169" s="40" t="s">
        <v>533</v>
      </c>
      <c r="F169" s="39" t="s">
        <v>41</v>
      </c>
      <c r="G169" s="39" t="s">
        <v>534</v>
      </c>
      <c r="H169" s="41">
        <v>385</v>
      </c>
      <c r="I169" s="36">
        <f t="shared" si="37"/>
        <v>1540000</v>
      </c>
      <c r="J169" s="37">
        <f t="shared" si="38"/>
        <v>19.25</v>
      </c>
      <c r="K169" s="37">
        <f t="shared" si="39"/>
        <v>28.875</v>
      </c>
      <c r="M169" s="37">
        <f t="shared" si="40"/>
        <v>12.03125</v>
      </c>
      <c r="O169" s="4">
        <f t="shared" si="41"/>
        <v>5775000</v>
      </c>
      <c r="Q169" s="4">
        <f t="shared" si="42"/>
        <v>481250</v>
      </c>
      <c r="S169" s="4">
        <f t="shared" si="43"/>
        <v>19250</v>
      </c>
      <c r="U169" s="4">
        <f t="shared" si="46"/>
        <v>69300</v>
      </c>
      <c r="W169" s="4">
        <f t="shared" si="44"/>
        <v>5775</v>
      </c>
      <c r="Y169" s="4">
        <f t="shared" si="45"/>
        <v>6015.625</v>
      </c>
    </row>
    <row r="170" spans="1:26" ht="14.5" hidden="1" customHeight="1" outlineLevel="1" x14ac:dyDescent="0.35">
      <c r="A170" s="39" t="s">
        <v>535</v>
      </c>
      <c r="B170" s="39" t="s">
        <v>522</v>
      </c>
      <c r="C170" s="39" t="s">
        <v>536</v>
      </c>
      <c r="D170" s="39" t="s">
        <v>537</v>
      </c>
      <c r="E170" s="40" t="s">
        <v>538</v>
      </c>
      <c r="F170" s="39" t="s">
        <v>41</v>
      </c>
      <c r="G170" s="39" t="s">
        <v>539</v>
      </c>
      <c r="H170" s="41">
        <v>309</v>
      </c>
      <c r="I170" s="36">
        <f t="shared" si="37"/>
        <v>1236000</v>
      </c>
      <c r="J170" s="37">
        <f t="shared" si="38"/>
        <v>15.450000000000001</v>
      </c>
      <c r="K170" s="37">
        <f t="shared" si="39"/>
        <v>23.175000000000001</v>
      </c>
      <c r="M170" s="37">
        <f t="shared" si="40"/>
        <v>9.65625</v>
      </c>
      <c r="O170" s="4">
        <f t="shared" si="41"/>
        <v>4635000</v>
      </c>
      <c r="Q170" s="4">
        <f t="shared" si="42"/>
        <v>386250</v>
      </c>
      <c r="S170" s="4">
        <f t="shared" si="43"/>
        <v>15450</v>
      </c>
      <c r="U170" s="4">
        <f t="shared" si="46"/>
        <v>55620</v>
      </c>
      <c r="W170" s="4">
        <f t="shared" si="44"/>
        <v>4635</v>
      </c>
      <c r="Y170" s="4">
        <f t="shared" si="45"/>
        <v>4828.125</v>
      </c>
    </row>
    <row r="171" spans="1:26" ht="14.5" hidden="1" customHeight="1" outlineLevel="1" x14ac:dyDescent="0.35">
      <c r="A171" s="39" t="s">
        <v>540</v>
      </c>
      <c r="B171" s="39" t="s">
        <v>522</v>
      </c>
      <c r="C171" s="39" t="s">
        <v>541</v>
      </c>
      <c r="D171" s="39" t="s">
        <v>109</v>
      </c>
      <c r="E171" s="40" t="s">
        <v>109</v>
      </c>
      <c r="F171" s="39" t="s">
        <v>41</v>
      </c>
      <c r="G171" s="39" t="s">
        <v>110</v>
      </c>
      <c r="H171" s="41">
        <v>261</v>
      </c>
      <c r="I171" s="36">
        <f t="shared" si="37"/>
        <v>1044000</v>
      </c>
      <c r="J171" s="37">
        <f t="shared" si="38"/>
        <v>13.05</v>
      </c>
      <c r="K171" s="37">
        <f t="shared" si="39"/>
        <v>19.574999999999999</v>
      </c>
      <c r="M171" s="37">
        <f t="shared" si="40"/>
        <v>8.15625</v>
      </c>
      <c r="O171" s="4">
        <f t="shared" si="41"/>
        <v>3915000</v>
      </c>
      <c r="Q171" s="4">
        <f t="shared" si="42"/>
        <v>326250</v>
      </c>
      <c r="S171" s="4">
        <f t="shared" si="43"/>
        <v>13050</v>
      </c>
      <c r="U171" s="4">
        <f t="shared" si="46"/>
        <v>46980</v>
      </c>
      <c r="W171" s="4">
        <f t="shared" si="44"/>
        <v>3915</v>
      </c>
      <c r="Y171" s="4">
        <f t="shared" si="45"/>
        <v>4078.125</v>
      </c>
    </row>
    <row r="172" spans="1:26" ht="14.5" hidden="1" customHeight="1" outlineLevel="1" x14ac:dyDescent="0.35">
      <c r="A172" s="39" t="s">
        <v>542</v>
      </c>
      <c r="B172" s="39" t="s">
        <v>522</v>
      </c>
      <c r="C172" s="39" t="s">
        <v>543</v>
      </c>
      <c r="D172" s="39" t="s">
        <v>544</v>
      </c>
      <c r="E172" s="40" t="s">
        <v>533</v>
      </c>
      <c r="F172" s="39" t="s">
        <v>41</v>
      </c>
      <c r="G172" s="39" t="s">
        <v>545</v>
      </c>
      <c r="H172" s="41">
        <v>219</v>
      </c>
      <c r="I172" s="36">
        <f t="shared" si="37"/>
        <v>876000</v>
      </c>
      <c r="J172" s="37">
        <f t="shared" si="38"/>
        <v>10.950000000000001</v>
      </c>
      <c r="K172" s="37">
        <f t="shared" si="39"/>
        <v>16.425000000000001</v>
      </c>
      <c r="M172" s="37">
        <f t="shared" si="40"/>
        <v>6.84375</v>
      </c>
      <c r="O172" s="4">
        <f t="shared" si="41"/>
        <v>3285000</v>
      </c>
      <c r="Q172" s="4">
        <f t="shared" si="42"/>
        <v>273750</v>
      </c>
      <c r="S172" s="4">
        <f t="shared" si="43"/>
        <v>10950</v>
      </c>
      <c r="U172" s="4">
        <f t="shared" si="46"/>
        <v>39420</v>
      </c>
      <c r="W172" s="4">
        <f t="shared" si="44"/>
        <v>3285</v>
      </c>
      <c r="Y172" s="4">
        <f t="shared" si="45"/>
        <v>3421.875</v>
      </c>
    </row>
    <row r="173" spans="1:26" ht="14.5" hidden="1" customHeight="1" outlineLevel="1" x14ac:dyDescent="0.35">
      <c r="A173" s="39" t="s">
        <v>546</v>
      </c>
      <c r="B173" s="39" t="s">
        <v>522</v>
      </c>
      <c r="C173" s="39" t="s">
        <v>547</v>
      </c>
      <c r="D173" s="39" t="s">
        <v>548</v>
      </c>
      <c r="E173" s="40" t="s">
        <v>222</v>
      </c>
      <c r="F173" s="39" t="s">
        <v>41</v>
      </c>
      <c r="G173" s="39" t="s">
        <v>545</v>
      </c>
      <c r="H173" s="41">
        <v>176</v>
      </c>
      <c r="I173" s="36">
        <f t="shared" si="37"/>
        <v>704000</v>
      </c>
      <c r="J173" s="37">
        <f t="shared" si="38"/>
        <v>8.8000000000000007</v>
      </c>
      <c r="K173" s="37">
        <f t="shared" si="39"/>
        <v>13.2</v>
      </c>
      <c r="M173" s="37">
        <f t="shared" si="40"/>
        <v>5.5</v>
      </c>
      <c r="O173" s="4">
        <f t="shared" si="41"/>
        <v>2640000</v>
      </c>
      <c r="Q173" s="4">
        <f t="shared" si="42"/>
        <v>220000</v>
      </c>
      <c r="S173" s="4">
        <f t="shared" si="43"/>
        <v>8800</v>
      </c>
      <c r="U173" s="4">
        <f t="shared" si="46"/>
        <v>31680</v>
      </c>
      <c r="W173" s="4">
        <f t="shared" si="44"/>
        <v>2640</v>
      </c>
      <c r="Y173" s="4">
        <f t="shared" si="45"/>
        <v>2750</v>
      </c>
    </row>
    <row r="174" spans="1:26" ht="14.5" hidden="1" customHeight="1" outlineLevel="1" x14ac:dyDescent="0.35">
      <c r="A174" s="39" t="s">
        <v>549</v>
      </c>
      <c r="B174" s="39" t="s">
        <v>522</v>
      </c>
      <c r="C174" s="39" t="s">
        <v>550</v>
      </c>
      <c r="D174" s="39" t="s">
        <v>551</v>
      </c>
      <c r="E174" s="40" t="s">
        <v>552</v>
      </c>
      <c r="F174" s="39" t="s">
        <v>41</v>
      </c>
      <c r="G174" s="39" t="s">
        <v>545</v>
      </c>
      <c r="H174" s="41">
        <v>171</v>
      </c>
      <c r="I174" s="36">
        <f t="shared" si="37"/>
        <v>684000</v>
      </c>
      <c r="J174" s="37">
        <f t="shared" si="38"/>
        <v>8.5500000000000007</v>
      </c>
      <c r="K174" s="37">
        <f t="shared" si="39"/>
        <v>12.824999999999999</v>
      </c>
      <c r="M174" s="37">
        <f t="shared" si="40"/>
        <v>5.34375</v>
      </c>
      <c r="O174" s="4">
        <f t="shared" si="41"/>
        <v>2565000</v>
      </c>
      <c r="Q174" s="4">
        <f t="shared" si="42"/>
        <v>213750</v>
      </c>
      <c r="S174" s="4">
        <f t="shared" si="43"/>
        <v>8550</v>
      </c>
      <c r="U174" s="4">
        <f t="shared" si="46"/>
        <v>30780</v>
      </c>
      <c r="W174" s="4">
        <f t="shared" si="44"/>
        <v>2565</v>
      </c>
      <c r="Y174" s="4">
        <f t="shared" si="45"/>
        <v>2671.875</v>
      </c>
    </row>
    <row r="175" spans="1:26" ht="14.5" hidden="1" customHeight="1" outlineLevel="1" x14ac:dyDescent="0.35">
      <c r="A175" s="39" t="s">
        <v>553</v>
      </c>
      <c r="B175" s="39" t="s">
        <v>522</v>
      </c>
      <c r="C175" s="39" t="s">
        <v>554</v>
      </c>
      <c r="D175" s="39" t="s">
        <v>555</v>
      </c>
      <c r="E175" s="40" t="s">
        <v>165</v>
      </c>
      <c r="F175" s="39" t="s">
        <v>41</v>
      </c>
      <c r="G175" s="39" t="s">
        <v>545</v>
      </c>
      <c r="H175" s="41">
        <v>156</v>
      </c>
      <c r="I175" s="36">
        <f t="shared" si="37"/>
        <v>624000</v>
      </c>
      <c r="J175" s="37">
        <f t="shared" si="38"/>
        <v>7.8000000000000007</v>
      </c>
      <c r="K175" s="37">
        <f t="shared" si="39"/>
        <v>11.7</v>
      </c>
      <c r="M175" s="37">
        <f t="shared" si="40"/>
        <v>4.875</v>
      </c>
      <c r="O175" s="4">
        <f t="shared" si="41"/>
        <v>2340000</v>
      </c>
      <c r="Q175" s="4">
        <f t="shared" si="42"/>
        <v>195000</v>
      </c>
      <c r="S175" s="4">
        <f t="shared" si="43"/>
        <v>7800</v>
      </c>
      <c r="U175" s="4">
        <f t="shared" si="46"/>
        <v>28080</v>
      </c>
      <c r="W175" s="4">
        <f t="shared" si="44"/>
        <v>2340</v>
      </c>
      <c r="Y175" s="4">
        <f t="shared" si="45"/>
        <v>2437.5</v>
      </c>
    </row>
    <row r="176" spans="1:26" ht="14.5" hidden="1" customHeight="1" outlineLevel="1" x14ac:dyDescent="0.35">
      <c r="A176" s="39" t="s">
        <v>556</v>
      </c>
      <c r="B176" s="39" t="s">
        <v>522</v>
      </c>
      <c r="C176" s="39" t="s">
        <v>109</v>
      </c>
      <c r="D176" s="39" t="s">
        <v>557</v>
      </c>
      <c r="E176" s="40" t="s">
        <v>191</v>
      </c>
      <c r="F176" s="39" t="s">
        <v>41</v>
      </c>
      <c r="G176" s="39" t="s">
        <v>558</v>
      </c>
      <c r="H176" s="41">
        <v>91</v>
      </c>
      <c r="I176" s="36">
        <f t="shared" si="37"/>
        <v>364000</v>
      </c>
      <c r="J176" s="37">
        <f t="shared" si="38"/>
        <v>4.55</v>
      </c>
      <c r="K176" s="37">
        <f t="shared" si="39"/>
        <v>6.8250000000000002</v>
      </c>
      <c r="M176" s="37">
        <f t="shared" si="40"/>
        <v>2.84375</v>
      </c>
      <c r="O176" s="4">
        <f t="shared" si="41"/>
        <v>1365000</v>
      </c>
      <c r="Q176" s="4">
        <f t="shared" si="42"/>
        <v>113750</v>
      </c>
      <c r="S176" s="4">
        <f t="shared" si="43"/>
        <v>4550</v>
      </c>
      <c r="U176" s="4">
        <f t="shared" si="46"/>
        <v>16380</v>
      </c>
      <c r="W176" s="4">
        <f t="shared" si="44"/>
        <v>1365</v>
      </c>
      <c r="Y176" s="4">
        <f t="shared" si="45"/>
        <v>1421.875</v>
      </c>
    </row>
    <row r="177" spans="1:25" ht="14.5" hidden="1" customHeight="1" outlineLevel="1" x14ac:dyDescent="0.35">
      <c r="A177" s="39" t="s">
        <v>559</v>
      </c>
      <c r="B177" s="39" t="s">
        <v>522</v>
      </c>
      <c r="C177" s="39" t="s">
        <v>560</v>
      </c>
      <c r="D177" s="39" t="s">
        <v>561</v>
      </c>
      <c r="E177" s="40" t="s">
        <v>191</v>
      </c>
      <c r="F177" s="39" t="s">
        <v>41</v>
      </c>
      <c r="G177" s="39" t="s">
        <v>545</v>
      </c>
      <c r="H177" s="41">
        <v>86</v>
      </c>
      <c r="I177" s="36">
        <f t="shared" si="37"/>
        <v>344000</v>
      </c>
      <c r="J177" s="37">
        <f t="shared" si="38"/>
        <v>4.3</v>
      </c>
      <c r="K177" s="37">
        <f t="shared" si="39"/>
        <v>6.45</v>
      </c>
      <c r="M177" s="37">
        <f t="shared" si="40"/>
        <v>2.6875</v>
      </c>
      <c r="O177" s="4">
        <f t="shared" si="41"/>
        <v>1290000</v>
      </c>
      <c r="Q177" s="4">
        <f t="shared" si="42"/>
        <v>107500</v>
      </c>
      <c r="S177" s="4">
        <f t="shared" si="43"/>
        <v>4300</v>
      </c>
      <c r="U177" s="4">
        <f t="shared" si="46"/>
        <v>15480</v>
      </c>
      <c r="W177" s="4">
        <f t="shared" si="44"/>
        <v>1290</v>
      </c>
      <c r="Y177" s="4">
        <f t="shared" si="45"/>
        <v>1343.75</v>
      </c>
    </row>
    <row r="178" spans="1:25" ht="14.5" hidden="1" customHeight="1" outlineLevel="1" x14ac:dyDescent="0.35">
      <c r="A178" s="39" t="s">
        <v>562</v>
      </c>
      <c r="B178" s="39" t="s">
        <v>522</v>
      </c>
      <c r="C178" s="39" t="s">
        <v>563</v>
      </c>
      <c r="D178" s="39" t="s">
        <v>564</v>
      </c>
      <c r="E178" s="40" t="s">
        <v>211</v>
      </c>
      <c r="F178" s="39" t="s">
        <v>41</v>
      </c>
      <c r="G178" s="39" t="s">
        <v>565</v>
      </c>
      <c r="H178" s="41">
        <v>65</v>
      </c>
      <c r="I178" s="36">
        <f t="shared" si="37"/>
        <v>260000</v>
      </c>
      <c r="J178" s="37">
        <f t="shared" si="38"/>
        <v>3.25</v>
      </c>
      <c r="K178" s="37">
        <f t="shared" si="39"/>
        <v>4.875</v>
      </c>
      <c r="M178" s="37">
        <f t="shared" si="40"/>
        <v>2.03125</v>
      </c>
      <c r="O178" s="4">
        <f t="shared" si="41"/>
        <v>975000</v>
      </c>
      <c r="Q178" s="4">
        <f t="shared" si="42"/>
        <v>81250</v>
      </c>
      <c r="S178" s="4">
        <f t="shared" si="43"/>
        <v>3250</v>
      </c>
      <c r="U178" s="4">
        <f t="shared" si="46"/>
        <v>11700</v>
      </c>
      <c r="W178" s="4">
        <f t="shared" si="44"/>
        <v>975</v>
      </c>
      <c r="Y178" s="4">
        <f t="shared" si="45"/>
        <v>1015.625</v>
      </c>
    </row>
    <row r="179" spans="1:25" ht="14.5" hidden="1" customHeight="1" outlineLevel="1" x14ac:dyDescent="0.35">
      <c r="A179" s="39" t="s">
        <v>566</v>
      </c>
      <c r="B179" s="39" t="s">
        <v>522</v>
      </c>
      <c r="C179" s="39" t="s">
        <v>567</v>
      </c>
      <c r="D179" s="39" t="s">
        <v>568</v>
      </c>
      <c r="E179" s="40" t="s">
        <v>78</v>
      </c>
      <c r="F179" s="39" t="s">
        <v>41</v>
      </c>
      <c r="G179" s="39" t="s">
        <v>569</v>
      </c>
      <c r="H179" s="41">
        <v>48</v>
      </c>
      <c r="I179" s="36">
        <f t="shared" si="37"/>
        <v>192000</v>
      </c>
      <c r="J179" s="37">
        <f t="shared" si="38"/>
        <v>2.4000000000000004</v>
      </c>
      <c r="K179" s="37">
        <f t="shared" si="39"/>
        <v>3.5999999999999996</v>
      </c>
      <c r="M179" s="37">
        <f t="shared" si="40"/>
        <v>1.5</v>
      </c>
      <c r="O179" s="4">
        <f t="shared" si="41"/>
        <v>720000</v>
      </c>
      <c r="Q179" s="4">
        <f t="shared" si="42"/>
        <v>60000</v>
      </c>
      <c r="S179" s="4">
        <f t="shared" si="43"/>
        <v>2400</v>
      </c>
      <c r="U179" s="4">
        <f t="shared" si="46"/>
        <v>8640</v>
      </c>
      <c r="W179" s="4">
        <f t="shared" si="44"/>
        <v>720</v>
      </c>
      <c r="Y179" s="4">
        <f t="shared" si="45"/>
        <v>750</v>
      </c>
    </row>
    <row r="180" spans="1:25" ht="14.5" hidden="1" customHeight="1" outlineLevel="1" x14ac:dyDescent="0.35">
      <c r="A180" s="39" t="s">
        <v>570</v>
      </c>
      <c r="B180" s="39" t="s">
        <v>522</v>
      </c>
      <c r="C180" s="39" t="s">
        <v>571</v>
      </c>
      <c r="D180" s="39" t="s">
        <v>572</v>
      </c>
      <c r="E180" s="40" t="s">
        <v>552</v>
      </c>
      <c r="F180" s="39" t="s">
        <v>41</v>
      </c>
      <c r="G180" s="39" t="s">
        <v>545</v>
      </c>
      <c r="H180" s="41">
        <v>37</v>
      </c>
      <c r="I180" s="36">
        <f t="shared" si="37"/>
        <v>148000</v>
      </c>
      <c r="J180" s="37">
        <f t="shared" si="38"/>
        <v>1.85</v>
      </c>
      <c r="K180" s="37">
        <f t="shared" si="39"/>
        <v>2.7749999999999999</v>
      </c>
      <c r="M180" s="37">
        <f t="shared" si="40"/>
        <v>1.15625</v>
      </c>
      <c r="O180" s="4">
        <f t="shared" si="41"/>
        <v>555000</v>
      </c>
      <c r="Q180" s="4">
        <f t="shared" si="42"/>
        <v>46250</v>
      </c>
      <c r="S180" s="4">
        <f t="shared" si="43"/>
        <v>1850</v>
      </c>
      <c r="U180" s="4">
        <f t="shared" si="46"/>
        <v>6660</v>
      </c>
      <c r="W180" s="4">
        <f t="shared" si="44"/>
        <v>555</v>
      </c>
      <c r="Y180" s="4">
        <f t="shared" si="45"/>
        <v>578.125</v>
      </c>
    </row>
    <row r="181" spans="1:25" ht="14.5" hidden="1" customHeight="1" outlineLevel="1" x14ac:dyDescent="0.35">
      <c r="A181" s="39" t="s">
        <v>573</v>
      </c>
      <c r="B181" s="39" t="s">
        <v>522</v>
      </c>
      <c r="C181" s="39" t="s">
        <v>574</v>
      </c>
      <c r="D181" s="39" t="s">
        <v>575</v>
      </c>
      <c r="E181" s="40" t="s">
        <v>165</v>
      </c>
      <c r="F181" s="39" t="s">
        <v>41</v>
      </c>
      <c r="G181" s="39" t="s">
        <v>110</v>
      </c>
      <c r="H181" s="41">
        <v>18</v>
      </c>
      <c r="I181" s="36">
        <f t="shared" si="37"/>
        <v>72000</v>
      </c>
      <c r="J181" s="37">
        <f t="shared" si="38"/>
        <v>0.9</v>
      </c>
      <c r="K181" s="37">
        <f t="shared" si="39"/>
        <v>1.3499999999999999</v>
      </c>
      <c r="M181" s="37">
        <f t="shared" si="40"/>
        <v>0.5625</v>
      </c>
      <c r="O181" s="4">
        <f t="shared" si="41"/>
        <v>270000</v>
      </c>
      <c r="Q181" s="4">
        <f t="shared" si="42"/>
        <v>22500</v>
      </c>
      <c r="S181" s="4">
        <f t="shared" si="43"/>
        <v>900</v>
      </c>
      <c r="U181" s="4">
        <f t="shared" si="46"/>
        <v>3240</v>
      </c>
      <c r="W181" s="4">
        <f t="shared" si="44"/>
        <v>270</v>
      </c>
      <c r="Y181" s="4">
        <f t="shared" si="45"/>
        <v>281.25</v>
      </c>
    </row>
    <row r="182" spans="1:25" hidden="1" outlineLevel="1" x14ac:dyDescent="0.35">
      <c r="A182" s="39" t="s">
        <v>576</v>
      </c>
      <c r="B182" s="39" t="s">
        <v>522</v>
      </c>
      <c r="C182" s="39" t="s">
        <v>577</v>
      </c>
      <c r="D182" s="39" t="s">
        <v>145</v>
      </c>
      <c r="E182" s="40" t="s">
        <v>146</v>
      </c>
      <c r="F182" s="39" t="s">
        <v>41</v>
      </c>
      <c r="G182" s="39" t="s">
        <v>110</v>
      </c>
      <c r="H182" s="47">
        <v>0</v>
      </c>
      <c r="I182" s="36">
        <f t="shared" si="37"/>
        <v>0</v>
      </c>
      <c r="J182" s="37">
        <f t="shared" si="38"/>
        <v>0</v>
      </c>
      <c r="K182" s="37">
        <f t="shared" si="39"/>
        <v>0</v>
      </c>
      <c r="M182" s="37">
        <f t="shared" si="40"/>
        <v>0</v>
      </c>
      <c r="O182" s="4">
        <f t="shared" si="41"/>
        <v>0</v>
      </c>
      <c r="Q182" s="4">
        <f t="shared" si="42"/>
        <v>0</v>
      </c>
      <c r="S182" s="4">
        <f t="shared" si="43"/>
        <v>0</v>
      </c>
      <c r="U182" s="4">
        <f t="shared" si="46"/>
        <v>0</v>
      </c>
      <c r="W182" s="4">
        <f t="shared" si="44"/>
        <v>0</v>
      </c>
      <c r="Y182" s="4">
        <f t="shared" si="45"/>
        <v>0</v>
      </c>
    </row>
    <row r="183" spans="1:25" hidden="1" outlineLevel="1" x14ac:dyDescent="0.35">
      <c r="A183" s="39" t="s">
        <v>578</v>
      </c>
      <c r="B183" s="39" t="s">
        <v>522</v>
      </c>
      <c r="C183" s="39" t="s">
        <v>579</v>
      </c>
      <c r="D183" s="39" t="s">
        <v>109</v>
      </c>
      <c r="E183" s="40" t="s">
        <v>109</v>
      </c>
      <c r="F183" s="39" t="s">
        <v>41</v>
      </c>
      <c r="G183" s="39" t="s">
        <v>110</v>
      </c>
      <c r="H183" s="47">
        <v>0</v>
      </c>
      <c r="I183" s="36">
        <f t="shared" si="37"/>
        <v>0</v>
      </c>
      <c r="J183" s="37">
        <f t="shared" si="38"/>
        <v>0</v>
      </c>
      <c r="K183" s="37">
        <f t="shared" si="39"/>
        <v>0</v>
      </c>
      <c r="M183" s="37">
        <f t="shared" si="40"/>
        <v>0</v>
      </c>
      <c r="O183" s="4">
        <f t="shared" si="41"/>
        <v>0</v>
      </c>
      <c r="Q183" s="4">
        <f t="shared" si="42"/>
        <v>0</v>
      </c>
      <c r="S183" s="4">
        <f t="shared" si="43"/>
        <v>0</v>
      </c>
      <c r="U183" s="4">
        <f t="shared" si="46"/>
        <v>0</v>
      </c>
      <c r="W183" s="4">
        <f t="shared" si="44"/>
        <v>0</v>
      </c>
      <c r="Y183" s="4">
        <f t="shared" si="45"/>
        <v>0</v>
      </c>
    </row>
    <row r="184" spans="1:25" hidden="1" outlineLevel="1" x14ac:dyDescent="0.35">
      <c r="A184" s="39" t="s">
        <v>580</v>
      </c>
      <c r="B184" s="39" t="s">
        <v>522</v>
      </c>
      <c r="C184" s="39" t="s">
        <v>109</v>
      </c>
      <c r="D184" s="39" t="s">
        <v>109</v>
      </c>
      <c r="E184" s="40" t="s">
        <v>109</v>
      </c>
      <c r="F184" s="39" t="s">
        <v>41</v>
      </c>
      <c r="G184" s="39" t="s">
        <v>110</v>
      </c>
      <c r="H184" s="47">
        <v>0</v>
      </c>
      <c r="I184" s="36">
        <f t="shared" si="37"/>
        <v>0</v>
      </c>
      <c r="J184" s="37">
        <f t="shared" si="38"/>
        <v>0</v>
      </c>
      <c r="K184" s="37">
        <f t="shared" si="39"/>
        <v>0</v>
      </c>
      <c r="M184" s="37">
        <f t="shared" si="40"/>
        <v>0</v>
      </c>
      <c r="O184" s="4">
        <f t="shared" si="41"/>
        <v>0</v>
      </c>
      <c r="Q184" s="4">
        <f t="shared" si="42"/>
        <v>0</v>
      </c>
      <c r="S184" s="4">
        <f t="shared" si="43"/>
        <v>0</v>
      </c>
      <c r="U184" s="4">
        <f t="shared" si="46"/>
        <v>0</v>
      </c>
      <c r="W184" s="4">
        <f t="shared" si="44"/>
        <v>0</v>
      </c>
      <c r="Y184" s="4">
        <f t="shared" si="45"/>
        <v>0</v>
      </c>
    </row>
    <row r="185" spans="1:25" hidden="1" outlineLevel="1" x14ac:dyDescent="0.35">
      <c r="A185" s="39" t="s">
        <v>581</v>
      </c>
      <c r="B185" s="39" t="s">
        <v>522</v>
      </c>
      <c r="C185" s="39" t="s">
        <v>582</v>
      </c>
      <c r="D185" s="39" t="s">
        <v>583</v>
      </c>
      <c r="E185" s="40" t="s">
        <v>186</v>
      </c>
      <c r="F185" s="39" t="s">
        <v>41</v>
      </c>
      <c r="G185" s="39" t="s">
        <v>545</v>
      </c>
      <c r="H185" s="47">
        <v>0</v>
      </c>
      <c r="I185" s="36">
        <f t="shared" si="37"/>
        <v>0</v>
      </c>
      <c r="J185" s="37">
        <f t="shared" si="38"/>
        <v>0</v>
      </c>
      <c r="K185" s="37">
        <f t="shared" si="39"/>
        <v>0</v>
      </c>
      <c r="M185" s="37">
        <f t="shared" si="40"/>
        <v>0</v>
      </c>
      <c r="O185" s="4">
        <f t="shared" si="41"/>
        <v>0</v>
      </c>
      <c r="Q185" s="4">
        <f t="shared" si="42"/>
        <v>0</v>
      </c>
      <c r="S185" s="4">
        <f t="shared" si="43"/>
        <v>0</v>
      </c>
      <c r="U185" s="4">
        <f t="shared" si="46"/>
        <v>0</v>
      </c>
      <c r="W185" s="4">
        <f t="shared" si="44"/>
        <v>0</v>
      </c>
      <c r="Y185" s="4">
        <f t="shared" si="45"/>
        <v>0</v>
      </c>
    </row>
    <row r="186" spans="1:25" hidden="1" outlineLevel="1" x14ac:dyDescent="0.35">
      <c r="A186" s="39" t="s">
        <v>584</v>
      </c>
      <c r="B186" s="39" t="s">
        <v>522</v>
      </c>
      <c r="C186" s="39" t="s">
        <v>585</v>
      </c>
      <c r="D186" s="39" t="s">
        <v>109</v>
      </c>
      <c r="E186" s="40" t="s">
        <v>109</v>
      </c>
      <c r="F186" s="39" t="s">
        <v>41</v>
      </c>
      <c r="G186" s="39" t="s">
        <v>110</v>
      </c>
      <c r="H186" s="47">
        <v>0</v>
      </c>
      <c r="I186" s="36">
        <f t="shared" si="37"/>
        <v>0</v>
      </c>
      <c r="J186" s="37">
        <f t="shared" si="38"/>
        <v>0</v>
      </c>
      <c r="K186" s="37">
        <f t="shared" si="39"/>
        <v>0</v>
      </c>
      <c r="M186" s="37">
        <f t="shared" si="40"/>
        <v>0</v>
      </c>
      <c r="O186" s="4">
        <f t="shared" si="41"/>
        <v>0</v>
      </c>
      <c r="Q186" s="4">
        <f t="shared" si="42"/>
        <v>0</v>
      </c>
      <c r="S186" s="4">
        <f t="shared" si="43"/>
        <v>0</v>
      </c>
      <c r="U186" s="4">
        <f t="shared" si="46"/>
        <v>0</v>
      </c>
      <c r="W186" s="4">
        <f t="shared" si="44"/>
        <v>0</v>
      </c>
      <c r="Y186" s="4">
        <f t="shared" si="45"/>
        <v>0</v>
      </c>
    </row>
    <row r="187" spans="1:25" hidden="1" outlineLevel="1" x14ac:dyDescent="0.35">
      <c r="A187" s="39" t="s">
        <v>586</v>
      </c>
      <c r="B187" s="39" t="s">
        <v>522</v>
      </c>
      <c r="C187" s="39" t="s">
        <v>587</v>
      </c>
      <c r="D187" s="39" t="s">
        <v>109</v>
      </c>
      <c r="E187" s="40" t="s">
        <v>109</v>
      </c>
      <c r="F187" s="39" t="s">
        <v>41</v>
      </c>
      <c r="G187" s="39" t="s">
        <v>110</v>
      </c>
      <c r="H187" s="47">
        <v>0</v>
      </c>
      <c r="I187" s="36">
        <f t="shared" si="37"/>
        <v>0</v>
      </c>
      <c r="J187" s="37">
        <f t="shared" si="38"/>
        <v>0</v>
      </c>
      <c r="K187" s="37">
        <f t="shared" si="39"/>
        <v>0</v>
      </c>
      <c r="M187" s="37">
        <f t="shared" si="40"/>
        <v>0</v>
      </c>
      <c r="O187" s="4">
        <f t="shared" si="41"/>
        <v>0</v>
      </c>
      <c r="Q187" s="4">
        <f t="shared" si="42"/>
        <v>0</v>
      </c>
      <c r="S187" s="4">
        <f t="shared" si="43"/>
        <v>0</v>
      </c>
      <c r="U187" s="4">
        <f t="shared" si="46"/>
        <v>0</v>
      </c>
      <c r="W187" s="4">
        <f t="shared" si="44"/>
        <v>0</v>
      </c>
      <c r="Y187" s="4">
        <f t="shared" si="45"/>
        <v>0</v>
      </c>
    </row>
    <row r="188" spans="1:25" hidden="1" outlineLevel="1" x14ac:dyDescent="0.35">
      <c r="A188" s="39" t="s">
        <v>588</v>
      </c>
      <c r="B188" s="39" t="s">
        <v>522</v>
      </c>
      <c r="C188" s="39" t="s">
        <v>109</v>
      </c>
      <c r="D188" s="39" t="s">
        <v>109</v>
      </c>
      <c r="E188" s="40" t="s">
        <v>109</v>
      </c>
      <c r="F188" s="39" t="s">
        <v>41</v>
      </c>
      <c r="G188" s="39" t="s">
        <v>110</v>
      </c>
      <c r="H188" s="47">
        <v>0</v>
      </c>
      <c r="I188" s="36">
        <f t="shared" si="37"/>
        <v>0</v>
      </c>
      <c r="J188" s="37">
        <f t="shared" si="38"/>
        <v>0</v>
      </c>
      <c r="K188" s="37">
        <f t="shared" si="39"/>
        <v>0</v>
      </c>
      <c r="M188" s="37">
        <f t="shared" si="40"/>
        <v>0</v>
      </c>
      <c r="O188" s="4">
        <f t="shared" si="41"/>
        <v>0</v>
      </c>
      <c r="Q188" s="4">
        <f t="shared" si="42"/>
        <v>0</v>
      </c>
      <c r="S188" s="4">
        <f t="shared" si="43"/>
        <v>0</v>
      </c>
      <c r="U188" s="4">
        <f t="shared" si="46"/>
        <v>0</v>
      </c>
      <c r="W188" s="4">
        <f t="shared" si="44"/>
        <v>0</v>
      </c>
      <c r="Y188" s="4">
        <f t="shared" si="45"/>
        <v>0</v>
      </c>
    </row>
    <row r="189" spans="1:25" hidden="1" outlineLevel="1" x14ac:dyDescent="0.35">
      <c r="A189" s="39" t="s">
        <v>589</v>
      </c>
      <c r="B189" s="39" t="s">
        <v>522</v>
      </c>
      <c r="C189" s="39" t="s">
        <v>109</v>
      </c>
      <c r="D189" s="39" t="s">
        <v>590</v>
      </c>
      <c r="E189" s="40" t="s">
        <v>441</v>
      </c>
      <c r="F189" s="39" t="s">
        <v>101</v>
      </c>
      <c r="G189" s="39" t="s">
        <v>110</v>
      </c>
      <c r="H189" s="47">
        <v>0</v>
      </c>
      <c r="I189" s="36">
        <f t="shared" si="37"/>
        <v>0</v>
      </c>
      <c r="J189" s="37">
        <f t="shared" si="38"/>
        <v>0</v>
      </c>
      <c r="K189" s="37">
        <f t="shared" si="39"/>
        <v>0</v>
      </c>
      <c r="M189" s="37">
        <f t="shared" si="40"/>
        <v>0</v>
      </c>
      <c r="O189" s="4">
        <f t="shared" si="41"/>
        <v>0</v>
      </c>
      <c r="Q189" s="4">
        <f t="shared" si="42"/>
        <v>0</v>
      </c>
      <c r="S189" s="4">
        <f t="shared" si="43"/>
        <v>0</v>
      </c>
      <c r="U189" s="4">
        <f t="shared" si="46"/>
        <v>0</v>
      </c>
      <c r="W189" s="4">
        <f t="shared" si="44"/>
        <v>0</v>
      </c>
      <c r="Y189" s="4">
        <f t="shared" si="45"/>
        <v>0</v>
      </c>
    </row>
    <row r="190" spans="1:25" hidden="1" outlineLevel="1" x14ac:dyDescent="0.35">
      <c r="A190" s="39" t="s">
        <v>591</v>
      </c>
      <c r="B190" s="39" t="s">
        <v>522</v>
      </c>
      <c r="C190" s="39" t="s">
        <v>592</v>
      </c>
      <c r="D190" s="39" t="s">
        <v>593</v>
      </c>
      <c r="E190" s="40" t="s">
        <v>40</v>
      </c>
      <c r="F190" s="39" t="s">
        <v>41</v>
      </c>
      <c r="G190" s="39" t="s">
        <v>545</v>
      </c>
      <c r="H190" s="47">
        <v>0</v>
      </c>
      <c r="I190" s="36">
        <f t="shared" si="37"/>
        <v>0</v>
      </c>
      <c r="J190" s="37">
        <f t="shared" si="38"/>
        <v>0</v>
      </c>
      <c r="K190" s="37">
        <f t="shared" si="39"/>
        <v>0</v>
      </c>
      <c r="M190" s="37">
        <f t="shared" si="40"/>
        <v>0</v>
      </c>
      <c r="O190" s="4">
        <f t="shared" si="41"/>
        <v>0</v>
      </c>
      <c r="Q190" s="4">
        <f t="shared" si="42"/>
        <v>0</v>
      </c>
      <c r="S190" s="4">
        <f t="shared" si="43"/>
        <v>0</v>
      </c>
      <c r="U190" s="4">
        <f t="shared" si="46"/>
        <v>0</v>
      </c>
      <c r="W190" s="4">
        <f t="shared" si="44"/>
        <v>0</v>
      </c>
      <c r="Y190" s="4">
        <f t="shared" si="45"/>
        <v>0</v>
      </c>
    </row>
    <row r="191" spans="1:25" hidden="1" outlineLevel="1" x14ac:dyDescent="0.35">
      <c r="A191" s="39" t="s">
        <v>594</v>
      </c>
      <c r="B191" s="39" t="s">
        <v>522</v>
      </c>
      <c r="C191" s="39" t="s">
        <v>595</v>
      </c>
      <c r="D191" s="39" t="s">
        <v>596</v>
      </c>
      <c r="E191" s="40" t="s">
        <v>138</v>
      </c>
      <c r="F191" s="39" t="s">
        <v>41</v>
      </c>
      <c r="G191" s="39" t="s">
        <v>597</v>
      </c>
      <c r="H191" s="47">
        <v>0</v>
      </c>
      <c r="I191" s="36">
        <f t="shared" si="37"/>
        <v>0</v>
      </c>
      <c r="J191" s="37">
        <f t="shared" si="38"/>
        <v>0</v>
      </c>
      <c r="K191" s="37">
        <f t="shared" si="39"/>
        <v>0</v>
      </c>
      <c r="M191" s="37">
        <f t="shared" si="40"/>
        <v>0</v>
      </c>
      <c r="O191" s="4">
        <f t="shared" si="41"/>
        <v>0</v>
      </c>
      <c r="Q191" s="4">
        <f t="shared" si="42"/>
        <v>0</v>
      </c>
      <c r="S191" s="4">
        <f t="shared" si="43"/>
        <v>0</v>
      </c>
      <c r="U191" s="4">
        <f t="shared" si="46"/>
        <v>0</v>
      </c>
      <c r="W191" s="4">
        <f t="shared" si="44"/>
        <v>0</v>
      </c>
      <c r="Y191" s="4">
        <f t="shared" si="45"/>
        <v>0</v>
      </c>
    </row>
    <row r="192" spans="1:25" hidden="1" outlineLevel="1" x14ac:dyDescent="0.35">
      <c r="A192" s="39" t="s">
        <v>598</v>
      </c>
      <c r="B192" s="39" t="s">
        <v>522</v>
      </c>
      <c r="C192" s="39" t="s">
        <v>599</v>
      </c>
      <c r="D192" s="39" t="s">
        <v>600</v>
      </c>
      <c r="E192" s="40" t="s">
        <v>40</v>
      </c>
      <c r="F192" s="39" t="s">
        <v>41</v>
      </c>
      <c r="G192" s="39" t="s">
        <v>545</v>
      </c>
      <c r="H192" s="47">
        <v>0</v>
      </c>
      <c r="I192" s="36">
        <f t="shared" si="37"/>
        <v>0</v>
      </c>
      <c r="J192" s="37">
        <f t="shared" si="38"/>
        <v>0</v>
      </c>
      <c r="K192" s="37">
        <f t="shared" si="39"/>
        <v>0</v>
      </c>
      <c r="M192" s="37">
        <f t="shared" si="40"/>
        <v>0</v>
      </c>
      <c r="O192" s="4">
        <f t="shared" si="41"/>
        <v>0</v>
      </c>
      <c r="Q192" s="4">
        <f t="shared" si="42"/>
        <v>0</v>
      </c>
      <c r="S192" s="4">
        <f t="shared" si="43"/>
        <v>0</v>
      </c>
      <c r="U192" s="4">
        <f t="shared" si="46"/>
        <v>0</v>
      </c>
      <c r="W192" s="4">
        <f t="shared" si="44"/>
        <v>0</v>
      </c>
      <c r="Y192" s="4">
        <f t="shared" si="45"/>
        <v>0</v>
      </c>
    </row>
    <row r="193" spans="1:25" hidden="1" outlineLevel="1" x14ac:dyDescent="0.35">
      <c r="A193" s="39" t="s">
        <v>601</v>
      </c>
      <c r="B193" s="39" t="s">
        <v>522</v>
      </c>
      <c r="C193" s="39" t="s">
        <v>602</v>
      </c>
      <c r="D193" s="39" t="s">
        <v>603</v>
      </c>
      <c r="E193" s="40" t="s">
        <v>165</v>
      </c>
      <c r="F193" s="39" t="s">
        <v>41</v>
      </c>
      <c r="G193" s="39" t="s">
        <v>545</v>
      </c>
      <c r="H193" s="47">
        <v>0</v>
      </c>
      <c r="I193" s="36">
        <f t="shared" si="37"/>
        <v>0</v>
      </c>
      <c r="J193" s="37">
        <f t="shared" si="38"/>
        <v>0</v>
      </c>
      <c r="K193" s="37">
        <f t="shared" si="39"/>
        <v>0</v>
      </c>
      <c r="M193" s="37">
        <f t="shared" si="40"/>
        <v>0</v>
      </c>
      <c r="O193" s="4">
        <f t="shared" si="41"/>
        <v>0</v>
      </c>
      <c r="Q193" s="4">
        <f t="shared" si="42"/>
        <v>0</v>
      </c>
      <c r="S193" s="4">
        <f t="shared" si="43"/>
        <v>0</v>
      </c>
      <c r="U193" s="4">
        <f t="shared" si="46"/>
        <v>0</v>
      </c>
      <c r="W193" s="4">
        <f t="shared" si="44"/>
        <v>0</v>
      </c>
      <c r="Y193" s="4">
        <f t="shared" si="45"/>
        <v>0</v>
      </c>
    </row>
    <row r="194" spans="1:25" hidden="1" outlineLevel="1" x14ac:dyDescent="0.35">
      <c r="A194" s="39" t="s">
        <v>604</v>
      </c>
      <c r="B194" s="39" t="s">
        <v>522</v>
      </c>
      <c r="C194" s="39" t="s">
        <v>605</v>
      </c>
      <c r="D194" s="39" t="s">
        <v>561</v>
      </c>
      <c r="E194" s="40" t="s">
        <v>191</v>
      </c>
      <c r="F194" s="39" t="s">
        <v>41</v>
      </c>
      <c r="G194" s="39" t="s">
        <v>606</v>
      </c>
      <c r="H194" s="47">
        <v>0</v>
      </c>
      <c r="I194" s="36">
        <f t="shared" si="37"/>
        <v>0</v>
      </c>
      <c r="J194" s="37">
        <f t="shared" si="38"/>
        <v>0</v>
      </c>
      <c r="K194" s="37">
        <f t="shared" si="39"/>
        <v>0</v>
      </c>
      <c r="M194" s="37">
        <f t="shared" si="40"/>
        <v>0</v>
      </c>
      <c r="O194" s="4">
        <f t="shared" si="41"/>
        <v>0</v>
      </c>
      <c r="Q194" s="4">
        <f t="shared" si="42"/>
        <v>0</v>
      </c>
      <c r="S194" s="4">
        <f t="shared" si="43"/>
        <v>0</v>
      </c>
      <c r="U194" s="4">
        <f t="shared" si="46"/>
        <v>0</v>
      </c>
      <c r="W194" s="4">
        <f t="shared" si="44"/>
        <v>0</v>
      </c>
      <c r="Y194" s="4">
        <f t="shared" si="45"/>
        <v>0</v>
      </c>
    </row>
    <row r="195" spans="1:25" hidden="1" outlineLevel="1" x14ac:dyDescent="0.35">
      <c r="A195" s="39" t="s">
        <v>607</v>
      </c>
      <c r="B195" s="39" t="s">
        <v>522</v>
      </c>
      <c r="C195" s="39" t="s">
        <v>608</v>
      </c>
      <c r="D195" s="39" t="s">
        <v>609</v>
      </c>
      <c r="E195" s="40" t="s">
        <v>186</v>
      </c>
      <c r="F195" s="39" t="s">
        <v>41</v>
      </c>
      <c r="G195" s="39" t="s">
        <v>545</v>
      </c>
      <c r="H195" s="47">
        <v>0</v>
      </c>
      <c r="I195" s="36">
        <f t="shared" si="37"/>
        <v>0</v>
      </c>
      <c r="J195" s="37">
        <f t="shared" si="38"/>
        <v>0</v>
      </c>
      <c r="K195" s="37">
        <f t="shared" si="39"/>
        <v>0</v>
      </c>
      <c r="M195" s="37">
        <f t="shared" si="40"/>
        <v>0</v>
      </c>
      <c r="O195" s="4">
        <f t="shared" si="41"/>
        <v>0</v>
      </c>
      <c r="Q195" s="4">
        <f t="shared" si="42"/>
        <v>0</v>
      </c>
      <c r="S195" s="4">
        <f t="shared" si="43"/>
        <v>0</v>
      </c>
      <c r="U195" s="4">
        <f t="shared" si="46"/>
        <v>0</v>
      </c>
      <c r="W195" s="4">
        <f t="shared" si="44"/>
        <v>0</v>
      </c>
      <c r="Y195" s="4">
        <f t="shared" si="45"/>
        <v>0</v>
      </c>
    </row>
    <row r="196" spans="1:25" hidden="1" outlineLevel="1" x14ac:dyDescent="0.35">
      <c r="A196" s="39" t="s">
        <v>610</v>
      </c>
      <c r="B196" s="39" t="s">
        <v>522</v>
      </c>
      <c r="C196" s="39" t="s">
        <v>611</v>
      </c>
      <c r="D196" s="39" t="s">
        <v>612</v>
      </c>
      <c r="E196" s="40" t="s">
        <v>191</v>
      </c>
      <c r="F196" s="39" t="s">
        <v>41</v>
      </c>
      <c r="G196" s="39" t="s">
        <v>110</v>
      </c>
      <c r="H196" s="47">
        <v>0</v>
      </c>
      <c r="I196" s="36">
        <f t="shared" si="37"/>
        <v>0</v>
      </c>
      <c r="J196" s="37">
        <f t="shared" si="38"/>
        <v>0</v>
      </c>
      <c r="K196" s="37">
        <f t="shared" si="39"/>
        <v>0</v>
      </c>
      <c r="M196" s="37">
        <f t="shared" si="40"/>
        <v>0</v>
      </c>
      <c r="O196" s="4">
        <f t="shared" si="41"/>
        <v>0</v>
      </c>
      <c r="Q196" s="4">
        <f t="shared" si="42"/>
        <v>0</v>
      </c>
      <c r="S196" s="4">
        <f t="shared" si="43"/>
        <v>0</v>
      </c>
      <c r="U196" s="4">
        <f t="shared" si="46"/>
        <v>0</v>
      </c>
      <c r="W196" s="4">
        <f t="shared" si="44"/>
        <v>0</v>
      </c>
      <c r="Y196" s="4">
        <f t="shared" si="45"/>
        <v>0</v>
      </c>
    </row>
    <row r="197" spans="1:25" hidden="1" outlineLevel="1" x14ac:dyDescent="0.35">
      <c r="A197" s="39" t="s">
        <v>613</v>
      </c>
      <c r="B197" s="39" t="s">
        <v>522</v>
      </c>
      <c r="C197" s="39" t="s">
        <v>614</v>
      </c>
      <c r="D197" s="39" t="s">
        <v>109</v>
      </c>
      <c r="E197" s="40" t="s">
        <v>109</v>
      </c>
      <c r="F197" s="39" t="s">
        <v>41</v>
      </c>
      <c r="G197" s="39" t="s">
        <v>615</v>
      </c>
      <c r="H197" s="47">
        <v>0</v>
      </c>
      <c r="I197" s="36">
        <f t="shared" si="37"/>
        <v>0</v>
      </c>
      <c r="J197" s="37">
        <f t="shared" si="38"/>
        <v>0</v>
      </c>
      <c r="K197" s="37">
        <f t="shared" si="39"/>
        <v>0</v>
      </c>
      <c r="M197" s="37">
        <f t="shared" si="40"/>
        <v>0</v>
      </c>
      <c r="O197" s="4">
        <f t="shared" si="41"/>
        <v>0</v>
      </c>
      <c r="Q197" s="4">
        <f t="shared" si="42"/>
        <v>0</v>
      </c>
      <c r="S197" s="4">
        <f t="shared" si="43"/>
        <v>0</v>
      </c>
      <c r="U197" s="4">
        <f t="shared" si="46"/>
        <v>0</v>
      </c>
      <c r="W197" s="4">
        <f t="shared" si="44"/>
        <v>0</v>
      </c>
      <c r="Y197" s="4">
        <f t="shared" si="45"/>
        <v>0</v>
      </c>
    </row>
    <row r="198" spans="1:25" hidden="1" outlineLevel="1" x14ac:dyDescent="0.35">
      <c r="A198" s="39" t="s">
        <v>616</v>
      </c>
      <c r="B198" s="39" t="s">
        <v>522</v>
      </c>
      <c r="C198" s="39" t="s">
        <v>617</v>
      </c>
      <c r="D198" s="39" t="s">
        <v>109</v>
      </c>
      <c r="E198" s="40" t="s">
        <v>109</v>
      </c>
      <c r="F198" s="39" t="s">
        <v>41</v>
      </c>
      <c r="G198" s="39" t="s">
        <v>110</v>
      </c>
      <c r="H198" s="47">
        <v>0</v>
      </c>
      <c r="I198" s="36">
        <f t="shared" si="37"/>
        <v>0</v>
      </c>
      <c r="J198" s="37">
        <f t="shared" si="38"/>
        <v>0</v>
      </c>
      <c r="K198" s="37">
        <f t="shared" si="39"/>
        <v>0</v>
      </c>
      <c r="M198" s="37">
        <f t="shared" si="40"/>
        <v>0</v>
      </c>
      <c r="O198" s="4">
        <f t="shared" si="41"/>
        <v>0</v>
      </c>
      <c r="Q198" s="4">
        <f t="shared" si="42"/>
        <v>0</v>
      </c>
      <c r="S198" s="4">
        <f t="shared" si="43"/>
        <v>0</v>
      </c>
      <c r="U198" s="4">
        <f t="shared" si="46"/>
        <v>0</v>
      </c>
      <c r="W198" s="4">
        <f t="shared" si="44"/>
        <v>0</v>
      </c>
      <c r="Y198" s="4">
        <f t="shared" si="45"/>
        <v>0</v>
      </c>
    </row>
    <row r="199" spans="1:25" hidden="1" outlineLevel="1" x14ac:dyDescent="0.35">
      <c r="A199" s="39" t="s">
        <v>618</v>
      </c>
      <c r="B199" s="39" t="s">
        <v>522</v>
      </c>
      <c r="C199" s="39" t="s">
        <v>618</v>
      </c>
      <c r="D199" s="39" t="s">
        <v>109</v>
      </c>
      <c r="E199" s="40" t="s">
        <v>109</v>
      </c>
      <c r="F199" s="39" t="s">
        <v>41</v>
      </c>
      <c r="G199" s="39" t="s">
        <v>110</v>
      </c>
      <c r="H199" s="47">
        <v>0</v>
      </c>
      <c r="I199" s="36">
        <f t="shared" si="37"/>
        <v>0</v>
      </c>
      <c r="J199" s="37">
        <f t="shared" si="38"/>
        <v>0</v>
      </c>
      <c r="K199" s="37">
        <f t="shared" si="39"/>
        <v>0</v>
      </c>
      <c r="M199" s="37">
        <f t="shared" si="40"/>
        <v>0</v>
      </c>
      <c r="O199" s="4">
        <f t="shared" si="41"/>
        <v>0</v>
      </c>
      <c r="Q199" s="4">
        <f t="shared" si="42"/>
        <v>0</v>
      </c>
      <c r="S199" s="4">
        <f t="shared" si="43"/>
        <v>0</v>
      </c>
      <c r="U199" s="4">
        <f t="shared" si="46"/>
        <v>0</v>
      </c>
      <c r="W199" s="4">
        <f t="shared" si="44"/>
        <v>0</v>
      </c>
      <c r="Y199" s="4">
        <f t="shared" si="45"/>
        <v>0</v>
      </c>
    </row>
    <row r="200" spans="1:25" hidden="1" outlineLevel="1" x14ac:dyDescent="0.35">
      <c r="A200" s="39" t="s">
        <v>619</v>
      </c>
      <c r="B200" s="39" t="s">
        <v>522</v>
      </c>
      <c r="C200" s="39" t="s">
        <v>620</v>
      </c>
      <c r="D200" s="39" t="s">
        <v>621</v>
      </c>
      <c r="E200" s="40" t="s">
        <v>302</v>
      </c>
      <c r="F200" s="39" t="s">
        <v>41</v>
      </c>
      <c r="G200" s="39" t="s">
        <v>545</v>
      </c>
      <c r="H200" s="47">
        <v>0</v>
      </c>
      <c r="I200" s="36">
        <f t="shared" si="37"/>
        <v>0</v>
      </c>
      <c r="J200" s="37">
        <f t="shared" si="38"/>
        <v>0</v>
      </c>
      <c r="K200" s="37">
        <f t="shared" si="39"/>
        <v>0</v>
      </c>
      <c r="M200" s="37">
        <f t="shared" si="40"/>
        <v>0</v>
      </c>
      <c r="O200" s="4">
        <f t="shared" si="41"/>
        <v>0</v>
      </c>
      <c r="Q200" s="4">
        <f t="shared" si="42"/>
        <v>0</v>
      </c>
      <c r="S200" s="4">
        <f t="shared" si="43"/>
        <v>0</v>
      </c>
      <c r="U200" s="4">
        <f t="shared" si="46"/>
        <v>0</v>
      </c>
      <c r="W200" s="4">
        <f t="shared" si="44"/>
        <v>0</v>
      </c>
      <c r="Y200" s="4">
        <f t="shared" si="45"/>
        <v>0</v>
      </c>
    </row>
    <row r="201" spans="1:25" hidden="1" outlineLevel="1" x14ac:dyDescent="0.35">
      <c r="A201" s="39" t="s">
        <v>622</v>
      </c>
      <c r="B201" s="39" t="s">
        <v>522</v>
      </c>
      <c r="C201" s="39" t="s">
        <v>109</v>
      </c>
      <c r="D201" s="39" t="s">
        <v>109</v>
      </c>
      <c r="E201" s="40" t="s">
        <v>109</v>
      </c>
      <c r="F201" s="39" t="s">
        <v>41</v>
      </c>
      <c r="G201" s="39" t="s">
        <v>110</v>
      </c>
      <c r="H201" s="47">
        <v>0</v>
      </c>
      <c r="I201" s="36">
        <f t="shared" si="37"/>
        <v>0</v>
      </c>
      <c r="J201" s="37">
        <f t="shared" si="38"/>
        <v>0</v>
      </c>
      <c r="K201" s="37">
        <f t="shared" si="39"/>
        <v>0</v>
      </c>
      <c r="M201" s="37">
        <f t="shared" si="40"/>
        <v>0</v>
      </c>
      <c r="O201" s="4">
        <f t="shared" si="41"/>
        <v>0</v>
      </c>
      <c r="Q201" s="4">
        <f t="shared" si="42"/>
        <v>0</v>
      </c>
      <c r="S201" s="4">
        <f t="shared" si="43"/>
        <v>0</v>
      </c>
      <c r="U201" s="4">
        <f t="shared" si="46"/>
        <v>0</v>
      </c>
      <c r="W201" s="4">
        <f t="shared" si="44"/>
        <v>0</v>
      </c>
      <c r="Y201" s="4">
        <f t="shared" si="45"/>
        <v>0</v>
      </c>
    </row>
    <row r="202" spans="1:25" hidden="1" outlineLevel="1" x14ac:dyDescent="0.35">
      <c r="A202" s="39" t="s">
        <v>623</v>
      </c>
      <c r="B202" s="39" t="s">
        <v>522</v>
      </c>
      <c r="C202" s="39" t="s">
        <v>109</v>
      </c>
      <c r="D202" s="39" t="s">
        <v>624</v>
      </c>
      <c r="E202" s="40" t="s">
        <v>146</v>
      </c>
      <c r="F202" s="39" t="s">
        <v>41</v>
      </c>
      <c r="G202" s="39" t="s">
        <v>110</v>
      </c>
      <c r="H202" s="47">
        <v>0</v>
      </c>
      <c r="I202" s="36">
        <f t="shared" si="37"/>
        <v>0</v>
      </c>
      <c r="J202" s="37">
        <f t="shared" si="38"/>
        <v>0</v>
      </c>
      <c r="K202" s="37">
        <f t="shared" si="39"/>
        <v>0</v>
      </c>
      <c r="M202" s="37">
        <f t="shared" si="40"/>
        <v>0</v>
      </c>
      <c r="O202" s="4">
        <f t="shared" si="41"/>
        <v>0</v>
      </c>
      <c r="Q202" s="4">
        <f t="shared" si="42"/>
        <v>0</v>
      </c>
      <c r="S202" s="4">
        <f t="shared" si="43"/>
        <v>0</v>
      </c>
      <c r="U202" s="4">
        <f t="shared" si="46"/>
        <v>0</v>
      </c>
      <c r="W202" s="4">
        <f t="shared" si="44"/>
        <v>0</v>
      </c>
      <c r="Y202" s="4">
        <f t="shared" si="45"/>
        <v>0</v>
      </c>
    </row>
    <row r="203" spans="1:25" hidden="1" outlineLevel="1" x14ac:dyDescent="0.35">
      <c r="A203" s="39" t="s">
        <v>625</v>
      </c>
      <c r="B203" s="39" t="s">
        <v>522</v>
      </c>
      <c r="C203" s="39" t="s">
        <v>626</v>
      </c>
      <c r="D203" s="39" t="s">
        <v>627</v>
      </c>
      <c r="E203" s="40" t="s">
        <v>628</v>
      </c>
      <c r="F203" s="39" t="s">
        <v>41</v>
      </c>
      <c r="G203" s="39" t="s">
        <v>629</v>
      </c>
      <c r="H203" s="47">
        <v>0</v>
      </c>
      <c r="I203" s="36">
        <f t="shared" si="37"/>
        <v>0</v>
      </c>
      <c r="J203" s="37">
        <f t="shared" si="38"/>
        <v>0</v>
      </c>
      <c r="K203" s="37">
        <f t="shared" si="39"/>
        <v>0</v>
      </c>
      <c r="M203" s="37">
        <f t="shared" si="40"/>
        <v>0</v>
      </c>
      <c r="O203" s="4">
        <f t="shared" si="41"/>
        <v>0</v>
      </c>
      <c r="Q203" s="4">
        <f t="shared" si="42"/>
        <v>0</v>
      </c>
      <c r="S203" s="4">
        <f t="shared" si="43"/>
        <v>0</v>
      </c>
      <c r="U203" s="4">
        <f t="shared" si="46"/>
        <v>0</v>
      </c>
      <c r="W203" s="4">
        <f t="shared" si="44"/>
        <v>0</v>
      </c>
      <c r="Y203" s="4">
        <f t="shared" si="45"/>
        <v>0</v>
      </c>
    </row>
    <row r="204" spans="1:25" hidden="1" outlineLevel="1" x14ac:dyDescent="0.35">
      <c r="A204" s="39" t="s">
        <v>630</v>
      </c>
      <c r="B204" s="39" t="s">
        <v>522</v>
      </c>
      <c r="C204" s="39" t="s">
        <v>631</v>
      </c>
      <c r="D204" s="39" t="s">
        <v>109</v>
      </c>
      <c r="E204" s="40" t="s">
        <v>109</v>
      </c>
      <c r="F204" s="39" t="s">
        <v>41</v>
      </c>
      <c r="G204" s="39" t="s">
        <v>110</v>
      </c>
      <c r="H204" s="47">
        <v>0</v>
      </c>
      <c r="I204" s="36">
        <f t="shared" si="37"/>
        <v>0</v>
      </c>
      <c r="J204" s="37">
        <f t="shared" si="38"/>
        <v>0</v>
      </c>
      <c r="K204" s="37">
        <f t="shared" si="39"/>
        <v>0</v>
      </c>
      <c r="M204" s="37">
        <f t="shared" si="40"/>
        <v>0</v>
      </c>
      <c r="O204" s="4">
        <f t="shared" si="41"/>
        <v>0</v>
      </c>
      <c r="Q204" s="4">
        <f t="shared" si="42"/>
        <v>0</v>
      </c>
      <c r="S204" s="4">
        <f t="shared" si="43"/>
        <v>0</v>
      </c>
      <c r="U204" s="4">
        <f t="shared" si="46"/>
        <v>0</v>
      </c>
      <c r="W204" s="4">
        <f t="shared" si="44"/>
        <v>0</v>
      </c>
      <c r="Y204" s="4">
        <f t="shared" si="45"/>
        <v>0</v>
      </c>
    </row>
    <row r="205" spans="1:25" hidden="1" outlineLevel="1" x14ac:dyDescent="0.35">
      <c r="A205" s="39" t="s">
        <v>632</v>
      </c>
      <c r="B205" s="39" t="s">
        <v>522</v>
      </c>
      <c r="C205" s="39" t="s">
        <v>633</v>
      </c>
      <c r="D205" s="39" t="s">
        <v>109</v>
      </c>
      <c r="E205" s="40" t="s">
        <v>109</v>
      </c>
      <c r="F205" s="39" t="s">
        <v>41</v>
      </c>
      <c r="G205" s="39" t="s">
        <v>110</v>
      </c>
      <c r="H205" s="47">
        <v>0</v>
      </c>
      <c r="I205" s="36">
        <f t="shared" si="37"/>
        <v>0</v>
      </c>
      <c r="J205" s="37">
        <f t="shared" si="38"/>
        <v>0</v>
      </c>
      <c r="K205" s="37">
        <f t="shared" si="39"/>
        <v>0</v>
      </c>
      <c r="M205" s="37">
        <f t="shared" si="40"/>
        <v>0</v>
      </c>
      <c r="O205" s="4">
        <f t="shared" si="41"/>
        <v>0</v>
      </c>
      <c r="Q205" s="4">
        <f t="shared" si="42"/>
        <v>0</v>
      </c>
      <c r="S205" s="4">
        <f t="shared" si="43"/>
        <v>0</v>
      </c>
      <c r="U205" s="4">
        <f t="shared" si="46"/>
        <v>0</v>
      </c>
      <c r="W205" s="4">
        <f t="shared" si="44"/>
        <v>0</v>
      </c>
      <c r="Y205" s="4">
        <f t="shared" si="45"/>
        <v>0</v>
      </c>
    </row>
    <row r="206" spans="1:25" hidden="1" outlineLevel="1" x14ac:dyDescent="0.35">
      <c r="A206" s="39" t="s">
        <v>634</v>
      </c>
      <c r="B206" s="39" t="s">
        <v>522</v>
      </c>
      <c r="C206" s="39" t="s">
        <v>635</v>
      </c>
      <c r="D206" s="39" t="s">
        <v>109</v>
      </c>
      <c r="E206" s="40" t="s">
        <v>109</v>
      </c>
      <c r="F206" s="39" t="s">
        <v>41</v>
      </c>
      <c r="G206" s="39" t="s">
        <v>110</v>
      </c>
      <c r="H206" s="47">
        <v>0</v>
      </c>
      <c r="I206" s="36">
        <f t="shared" si="37"/>
        <v>0</v>
      </c>
      <c r="J206" s="37">
        <f t="shared" si="38"/>
        <v>0</v>
      </c>
      <c r="K206" s="37">
        <f t="shared" si="39"/>
        <v>0</v>
      </c>
      <c r="M206" s="37">
        <f t="shared" si="40"/>
        <v>0</v>
      </c>
      <c r="O206" s="4">
        <f t="shared" si="41"/>
        <v>0</v>
      </c>
      <c r="Q206" s="4">
        <f t="shared" si="42"/>
        <v>0</v>
      </c>
      <c r="S206" s="4">
        <f t="shared" si="43"/>
        <v>0</v>
      </c>
      <c r="U206" s="4">
        <f t="shared" si="46"/>
        <v>0</v>
      </c>
      <c r="W206" s="4">
        <f t="shared" si="44"/>
        <v>0</v>
      </c>
      <c r="Y206" s="4">
        <f t="shared" si="45"/>
        <v>0</v>
      </c>
    </row>
    <row r="207" spans="1:25" hidden="1" outlineLevel="1" x14ac:dyDescent="0.35">
      <c r="A207" s="39" t="s">
        <v>636</v>
      </c>
      <c r="B207" s="39" t="s">
        <v>522</v>
      </c>
      <c r="C207" s="39" t="s">
        <v>637</v>
      </c>
      <c r="D207" s="39" t="s">
        <v>109</v>
      </c>
      <c r="E207" s="40" t="s">
        <v>109</v>
      </c>
      <c r="F207" s="39" t="s">
        <v>41</v>
      </c>
      <c r="G207" s="39" t="s">
        <v>110</v>
      </c>
      <c r="H207" s="47">
        <v>0</v>
      </c>
      <c r="I207" s="36">
        <f t="shared" si="37"/>
        <v>0</v>
      </c>
      <c r="J207" s="37">
        <f t="shared" si="38"/>
        <v>0</v>
      </c>
      <c r="K207" s="37">
        <f t="shared" si="39"/>
        <v>0</v>
      </c>
      <c r="M207" s="37">
        <f t="shared" si="40"/>
        <v>0</v>
      </c>
      <c r="O207" s="4">
        <f t="shared" si="41"/>
        <v>0</v>
      </c>
      <c r="Q207" s="4">
        <f t="shared" si="42"/>
        <v>0</v>
      </c>
      <c r="S207" s="4">
        <f t="shared" si="43"/>
        <v>0</v>
      </c>
      <c r="U207" s="4">
        <f t="shared" si="46"/>
        <v>0</v>
      </c>
      <c r="W207" s="4">
        <f t="shared" si="44"/>
        <v>0</v>
      </c>
      <c r="Y207" s="4">
        <f t="shared" si="45"/>
        <v>0</v>
      </c>
    </row>
    <row r="208" spans="1:25" collapsed="1" x14ac:dyDescent="0.35">
      <c r="A208" s="39"/>
      <c r="B208" s="39"/>
      <c r="C208" s="39"/>
      <c r="D208" s="39"/>
      <c r="E208" s="40"/>
      <c r="F208" s="39"/>
      <c r="G208" s="39"/>
      <c r="H208" s="48"/>
      <c r="J208" s="49"/>
      <c r="K208" s="4"/>
      <c r="O208" s="49"/>
      <c r="Q208" s="49"/>
      <c r="S208" s="4"/>
      <c r="U208" s="4"/>
      <c r="W208" s="4"/>
      <c r="Y208" s="3"/>
    </row>
    <row r="209" spans="1:25" ht="13" x14ac:dyDescent="0.3">
      <c r="A209" s="24" t="s">
        <v>638</v>
      </c>
      <c r="B209" s="25"/>
      <c r="C209" s="26">
        <f>COUNTA(A210:A217)</f>
        <v>8</v>
      </c>
      <c r="D209" s="25"/>
      <c r="E209" s="27"/>
      <c r="F209" s="25"/>
      <c r="G209" s="25"/>
      <c r="H209" s="28">
        <f>SUM(H210:H217)</f>
        <v>388</v>
      </c>
      <c r="I209" s="28">
        <f>SUM(I210:I217)</f>
        <v>1552000</v>
      </c>
      <c r="J209" s="29">
        <f>SUM(J210:J217)</f>
        <v>19.399999999999999</v>
      </c>
      <c r="K209" s="29">
        <f>SUM(K210:K217)</f>
        <v>29.099999999999998</v>
      </c>
      <c r="M209" s="28">
        <f>SUM(M210:M217)</f>
        <v>12.125</v>
      </c>
      <c r="O209" s="30">
        <f>SUM(O210:O217)</f>
        <v>5820000</v>
      </c>
      <c r="Q209" s="31">
        <f>SUM(Q210:Q217)</f>
        <v>485000</v>
      </c>
      <c r="S209" s="31">
        <f>SUM(S210:S217)</f>
        <v>19400</v>
      </c>
      <c r="U209" s="31">
        <f>SUM(U210:U217)</f>
        <v>69840</v>
      </c>
      <c r="W209" s="31">
        <f>SUM(W210:W217)</f>
        <v>5820</v>
      </c>
      <c r="Y209" s="31">
        <f>SUM(Y210:Y217)</f>
        <v>6062.5</v>
      </c>
    </row>
    <row r="210" spans="1:25" ht="14.5" hidden="1" customHeight="1" outlineLevel="1" x14ac:dyDescent="0.35">
      <c r="A210" s="39" t="s">
        <v>639</v>
      </c>
      <c r="B210" s="39" t="s">
        <v>640</v>
      </c>
      <c r="C210" s="39" t="s">
        <v>641</v>
      </c>
      <c r="D210" s="39" t="s">
        <v>642</v>
      </c>
      <c r="E210" s="40" t="s">
        <v>367</v>
      </c>
      <c r="F210" s="39" t="s">
        <v>41</v>
      </c>
      <c r="G210" s="39" t="s">
        <v>643</v>
      </c>
      <c r="H210" s="41">
        <v>121</v>
      </c>
      <c r="I210" s="36">
        <f t="shared" ref="I210:I233" si="47">$E$7*H210</f>
        <v>484000</v>
      </c>
      <c r="J210" s="37">
        <f t="shared" ref="J210:J233" si="48">H210*$F$7</f>
        <v>6.0500000000000007</v>
      </c>
      <c r="K210" s="37">
        <f t="shared" ref="K210:K233" si="49">H210*$G$7</f>
        <v>9.0749999999999993</v>
      </c>
      <c r="M210" s="37">
        <f t="shared" ref="M210:M233" si="50">0.5*(AVERAGE(J210:K210))</f>
        <v>3.78125</v>
      </c>
      <c r="O210" s="4">
        <f t="shared" ref="O210:O233" si="51">I210*$E$3</f>
        <v>1815000</v>
      </c>
      <c r="Q210" s="4">
        <f t="shared" ref="Q210:Q233" si="52">I210*$E$3/12</f>
        <v>151250</v>
      </c>
      <c r="S210" s="4">
        <f t="shared" ref="S210:S233" si="53">Q210*$E$4</f>
        <v>6050</v>
      </c>
      <c r="U210" s="4">
        <f>W210*12</f>
        <v>21780</v>
      </c>
      <c r="W210" s="4">
        <f t="shared" ref="W210:W233" si="54">S210*$E$5</f>
        <v>1815</v>
      </c>
      <c r="Y210" s="4">
        <f t="shared" ref="Y210:Y233" si="55">M210*$E$6</f>
        <v>1890.625</v>
      </c>
    </row>
    <row r="211" spans="1:25" ht="14.5" hidden="1" customHeight="1" outlineLevel="1" x14ac:dyDescent="0.35">
      <c r="A211" s="39" t="s">
        <v>644</v>
      </c>
      <c r="B211" s="39" t="s">
        <v>640</v>
      </c>
      <c r="C211" s="39" t="s">
        <v>645</v>
      </c>
      <c r="D211" s="39" t="s">
        <v>646</v>
      </c>
      <c r="E211" s="40" t="s">
        <v>106</v>
      </c>
      <c r="F211" s="39" t="s">
        <v>41</v>
      </c>
      <c r="G211" s="39" t="s">
        <v>647</v>
      </c>
      <c r="H211" s="41">
        <v>100</v>
      </c>
      <c r="I211" s="36">
        <f t="shared" si="47"/>
        <v>400000</v>
      </c>
      <c r="J211" s="37">
        <f t="shared" si="48"/>
        <v>5</v>
      </c>
      <c r="K211" s="37">
        <f t="shared" si="49"/>
        <v>7.5</v>
      </c>
      <c r="M211" s="37">
        <f t="shared" si="50"/>
        <v>3.125</v>
      </c>
      <c r="O211" s="4">
        <f t="shared" si="51"/>
        <v>1500000</v>
      </c>
      <c r="Q211" s="4">
        <f t="shared" si="52"/>
        <v>125000</v>
      </c>
      <c r="S211" s="4">
        <f t="shared" si="53"/>
        <v>5000</v>
      </c>
      <c r="U211" s="4">
        <f t="shared" ref="U211:U233" si="56">W211*12</f>
        <v>18000</v>
      </c>
      <c r="W211" s="4">
        <f t="shared" si="54"/>
        <v>1500</v>
      </c>
      <c r="Y211" s="4">
        <f t="shared" si="55"/>
        <v>1562.5</v>
      </c>
    </row>
    <row r="212" spans="1:25" ht="14.5" hidden="1" customHeight="1" outlineLevel="1" x14ac:dyDescent="0.35">
      <c r="A212" s="39" t="s">
        <v>648</v>
      </c>
      <c r="B212" s="39" t="s">
        <v>640</v>
      </c>
      <c r="C212" s="39" t="s">
        <v>649</v>
      </c>
      <c r="D212" s="39" t="s">
        <v>650</v>
      </c>
      <c r="E212" s="40" t="s">
        <v>222</v>
      </c>
      <c r="F212" s="39" t="s">
        <v>41</v>
      </c>
      <c r="G212" s="39" t="s">
        <v>651</v>
      </c>
      <c r="H212" s="41">
        <v>63</v>
      </c>
      <c r="I212" s="36">
        <f t="shared" si="47"/>
        <v>252000</v>
      </c>
      <c r="J212" s="37">
        <f t="shared" si="48"/>
        <v>3.1500000000000004</v>
      </c>
      <c r="K212" s="37">
        <f t="shared" si="49"/>
        <v>4.7249999999999996</v>
      </c>
      <c r="M212" s="37">
        <f t="shared" si="50"/>
        <v>1.96875</v>
      </c>
      <c r="O212" s="4">
        <f t="shared" si="51"/>
        <v>945000</v>
      </c>
      <c r="Q212" s="4">
        <f t="shared" si="52"/>
        <v>78750</v>
      </c>
      <c r="S212" s="4">
        <f t="shared" si="53"/>
        <v>3150</v>
      </c>
      <c r="U212" s="4">
        <f t="shared" si="56"/>
        <v>11340</v>
      </c>
      <c r="W212" s="4">
        <f t="shared" si="54"/>
        <v>945</v>
      </c>
      <c r="Y212" s="4">
        <f t="shared" si="55"/>
        <v>984.375</v>
      </c>
    </row>
    <row r="213" spans="1:25" ht="14.5" hidden="1" customHeight="1" outlineLevel="1" x14ac:dyDescent="0.35">
      <c r="A213" s="39" t="s">
        <v>652</v>
      </c>
      <c r="B213" s="39" t="s">
        <v>640</v>
      </c>
      <c r="C213" s="39" t="s">
        <v>109</v>
      </c>
      <c r="D213" s="39" t="s">
        <v>653</v>
      </c>
      <c r="E213" s="40" t="s">
        <v>211</v>
      </c>
      <c r="F213" s="39" t="s">
        <v>41</v>
      </c>
      <c r="G213" s="39" t="s">
        <v>654</v>
      </c>
      <c r="H213" s="41">
        <v>46</v>
      </c>
      <c r="I213" s="36">
        <f t="shared" si="47"/>
        <v>184000</v>
      </c>
      <c r="J213" s="37">
        <f t="shared" si="48"/>
        <v>2.3000000000000003</v>
      </c>
      <c r="K213" s="37">
        <f t="shared" si="49"/>
        <v>3.4499999999999997</v>
      </c>
      <c r="M213" s="37">
        <f t="shared" si="50"/>
        <v>1.4375</v>
      </c>
      <c r="O213" s="4">
        <f t="shared" si="51"/>
        <v>690000</v>
      </c>
      <c r="Q213" s="4">
        <f t="shared" si="52"/>
        <v>57500</v>
      </c>
      <c r="S213" s="4">
        <f t="shared" si="53"/>
        <v>2300</v>
      </c>
      <c r="U213" s="4">
        <f t="shared" si="56"/>
        <v>8280</v>
      </c>
      <c r="W213" s="4">
        <f t="shared" si="54"/>
        <v>690</v>
      </c>
      <c r="Y213" s="4">
        <f t="shared" si="55"/>
        <v>718.75</v>
      </c>
    </row>
    <row r="214" spans="1:25" ht="14.5" hidden="1" customHeight="1" outlineLevel="1" x14ac:dyDescent="0.35">
      <c r="A214" s="39" t="s">
        <v>655</v>
      </c>
      <c r="B214" s="39" t="s">
        <v>640</v>
      </c>
      <c r="C214" s="39" t="s">
        <v>656</v>
      </c>
      <c r="D214" s="39" t="s">
        <v>657</v>
      </c>
      <c r="E214" s="40" t="s">
        <v>552</v>
      </c>
      <c r="F214" s="39" t="s">
        <v>41</v>
      </c>
      <c r="G214" s="39" t="s">
        <v>651</v>
      </c>
      <c r="H214" s="41">
        <v>25</v>
      </c>
      <c r="I214" s="36">
        <f t="shared" si="47"/>
        <v>100000</v>
      </c>
      <c r="J214" s="37">
        <f t="shared" si="48"/>
        <v>1.25</v>
      </c>
      <c r="K214" s="37">
        <f t="shared" si="49"/>
        <v>1.875</v>
      </c>
      <c r="M214" s="37">
        <f t="shared" si="50"/>
        <v>0.78125</v>
      </c>
      <c r="O214" s="4">
        <f t="shared" si="51"/>
        <v>375000</v>
      </c>
      <c r="Q214" s="4">
        <f t="shared" si="52"/>
        <v>31250</v>
      </c>
      <c r="S214" s="4">
        <f t="shared" si="53"/>
        <v>1250</v>
      </c>
      <c r="U214" s="4">
        <f t="shared" si="56"/>
        <v>4500</v>
      </c>
      <c r="W214" s="4">
        <f t="shared" si="54"/>
        <v>375</v>
      </c>
      <c r="Y214" s="4">
        <f t="shared" si="55"/>
        <v>390.625</v>
      </c>
    </row>
    <row r="215" spans="1:25" ht="14.5" hidden="1" customHeight="1" outlineLevel="1" x14ac:dyDescent="0.35">
      <c r="A215" s="39" t="s">
        <v>658</v>
      </c>
      <c r="B215" s="39" t="s">
        <v>640</v>
      </c>
      <c r="C215" s="39" t="s">
        <v>659</v>
      </c>
      <c r="D215" s="39" t="s">
        <v>660</v>
      </c>
      <c r="E215" s="40" t="s">
        <v>226</v>
      </c>
      <c r="F215" s="39" t="s">
        <v>41</v>
      </c>
      <c r="G215" s="39" t="s">
        <v>661</v>
      </c>
      <c r="H215" s="41">
        <v>16</v>
      </c>
      <c r="I215" s="36">
        <f t="shared" si="47"/>
        <v>64000</v>
      </c>
      <c r="J215" s="37">
        <f t="shared" si="48"/>
        <v>0.8</v>
      </c>
      <c r="K215" s="37">
        <f t="shared" si="49"/>
        <v>1.2</v>
      </c>
      <c r="M215" s="37">
        <f t="shared" si="50"/>
        <v>0.5</v>
      </c>
      <c r="O215" s="4">
        <f t="shared" si="51"/>
        <v>240000</v>
      </c>
      <c r="Q215" s="4">
        <f t="shared" si="52"/>
        <v>20000</v>
      </c>
      <c r="S215" s="4">
        <f t="shared" si="53"/>
        <v>800</v>
      </c>
      <c r="U215" s="4">
        <f t="shared" si="56"/>
        <v>2880</v>
      </c>
      <c r="W215" s="4">
        <f t="shared" si="54"/>
        <v>240</v>
      </c>
      <c r="Y215" s="4">
        <f t="shared" si="55"/>
        <v>250</v>
      </c>
    </row>
    <row r="216" spans="1:25" ht="14.5" hidden="1" customHeight="1" outlineLevel="1" x14ac:dyDescent="0.35">
      <c r="A216" s="39" t="s">
        <v>662</v>
      </c>
      <c r="B216" s="39" t="s">
        <v>640</v>
      </c>
      <c r="C216" s="39" t="s">
        <v>663</v>
      </c>
      <c r="D216" s="39" t="s">
        <v>185</v>
      </c>
      <c r="E216" s="40" t="s">
        <v>186</v>
      </c>
      <c r="F216" s="39" t="s">
        <v>41</v>
      </c>
      <c r="G216" s="39" t="s">
        <v>654</v>
      </c>
      <c r="H216" s="41">
        <v>9</v>
      </c>
      <c r="I216" s="36">
        <f t="shared" si="47"/>
        <v>36000</v>
      </c>
      <c r="J216" s="37">
        <f t="shared" si="48"/>
        <v>0.45</v>
      </c>
      <c r="K216" s="37">
        <f t="shared" si="49"/>
        <v>0.67499999999999993</v>
      </c>
      <c r="M216" s="37">
        <f t="shared" si="50"/>
        <v>0.28125</v>
      </c>
      <c r="O216" s="4">
        <f t="shared" si="51"/>
        <v>135000</v>
      </c>
      <c r="Q216" s="4">
        <f t="shared" si="52"/>
        <v>11250</v>
      </c>
      <c r="S216" s="4">
        <f t="shared" si="53"/>
        <v>450</v>
      </c>
      <c r="U216" s="4">
        <f t="shared" si="56"/>
        <v>1620</v>
      </c>
      <c r="W216" s="4">
        <f t="shared" si="54"/>
        <v>135</v>
      </c>
      <c r="Y216" s="4">
        <f t="shared" si="55"/>
        <v>140.625</v>
      </c>
    </row>
    <row r="217" spans="1:25" ht="14.5" hidden="1" customHeight="1" outlineLevel="1" x14ac:dyDescent="0.35">
      <c r="A217" s="39" t="s">
        <v>664</v>
      </c>
      <c r="B217" s="39" t="s">
        <v>640</v>
      </c>
      <c r="C217" s="39" t="s">
        <v>665</v>
      </c>
      <c r="D217" s="39" t="s">
        <v>666</v>
      </c>
      <c r="E217" s="40" t="s">
        <v>200</v>
      </c>
      <c r="F217" s="39" t="s">
        <v>41</v>
      </c>
      <c r="G217" s="39" t="s">
        <v>654</v>
      </c>
      <c r="H217" s="41">
        <v>8</v>
      </c>
      <c r="I217" s="36">
        <f t="shared" si="47"/>
        <v>32000</v>
      </c>
      <c r="J217" s="37">
        <f t="shared" si="48"/>
        <v>0.4</v>
      </c>
      <c r="K217" s="37">
        <f t="shared" si="49"/>
        <v>0.6</v>
      </c>
      <c r="M217" s="37">
        <f t="shared" si="50"/>
        <v>0.25</v>
      </c>
      <c r="O217" s="4">
        <f t="shared" si="51"/>
        <v>120000</v>
      </c>
      <c r="Q217" s="4">
        <f t="shared" si="52"/>
        <v>10000</v>
      </c>
      <c r="S217" s="4">
        <f t="shared" si="53"/>
        <v>400</v>
      </c>
      <c r="U217" s="4">
        <f t="shared" si="56"/>
        <v>1440</v>
      </c>
      <c r="W217" s="4">
        <f t="shared" si="54"/>
        <v>120</v>
      </c>
      <c r="Y217" s="4">
        <f t="shared" si="55"/>
        <v>125</v>
      </c>
    </row>
    <row r="218" spans="1:25" hidden="1" outlineLevel="1" x14ac:dyDescent="0.35">
      <c r="A218" s="39" t="s">
        <v>667</v>
      </c>
      <c r="B218" s="39" t="s">
        <v>640</v>
      </c>
      <c r="C218" s="39" t="s">
        <v>668</v>
      </c>
      <c r="D218" s="39" t="s">
        <v>669</v>
      </c>
      <c r="E218" s="40" t="s">
        <v>114</v>
      </c>
      <c r="F218" s="39" t="s">
        <v>41</v>
      </c>
      <c r="G218" s="39" t="s">
        <v>110</v>
      </c>
      <c r="H218" s="47">
        <v>0</v>
      </c>
      <c r="I218" s="36">
        <f t="shared" si="47"/>
        <v>0</v>
      </c>
      <c r="J218" s="37">
        <f t="shared" si="48"/>
        <v>0</v>
      </c>
      <c r="K218" s="37">
        <f t="shared" si="49"/>
        <v>0</v>
      </c>
      <c r="M218" s="37">
        <f t="shared" si="50"/>
        <v>0</v>
      </c>
      <c r="O218" s="4">
        <f t="shared" si="51"/>
        <v>0</v>
      </c>
      <c r="Q218" s="4">
        <f t="shared" si="52"/>
        <v>0</v>
      </c>
      <c r="S218" s="4">
        <f t="shared" si="53"/>
        <v>0</v>
      </c>
      <c r="U218" s="4">
        <f t="shared" si="56"/>
        <v>0</v>
      </c>
      <c r="W218" s="4">
        <f t="shared" si="54"/>
        <v>0</v>
      </c>
      <c r="Y218" s="4">
        <f t="shared" si="55"/>
        <v>0</v>
      </c>
    </row>
    <row r="219" spans="1:25" hidden="1" outlineLevel="1" x14ac:dyDescent="0.35">
      <c r="A219" s="39" t="s">
        <v>670</v>
      </c>
      <c r="B219" s="39" t="s">
        <v>640</v>
      </c>
      <c r="C219" s="39" t="s">
        <v>109</v>
      </c>
      <c r="D219" s="39" t="s">
        <v>109</v>
      </c>
      <c r="E219" s="40" t="s">
        <v>109</v>
      </c>
      <c r="F219" s="39" t="s">
        <v>41</v>
      </c>
      <c r="G219" s="39" t="s">
        <v>110</v>
      </c>
      <c r="H219" s="47">
        <v>0</v>
      </c>
      <c r="I219" s="36">
        <f t="shared" si="47"/>
        <v>0</v>
      </c>
      <c r="J219" s="37">
        <f t="shared" si="48"/>
        <v>0</v>
      </c>
      <c r="K219" s="37">
        <f t="shared" si="49"/>
        <v>0</v>
      </c>
      <c r="M219" s="37">
        <f t="shared" si="50"/>
        <v>0</v>
      </c>
      <c r="O219" s="4">
        <f t="shared" si="51"/>
        <v>0</v>
      </c>
      <c r="Q219" s="4">
        <f t="shared" si="52"/>
        <v>0</v>
      </c>
      <c r="S219" s="4">
        <f t="shared" si="53"/>
        <v>0</v>
      </c>
      <c r="U219" s="4">
        <f t="shared" si="56"/>
        <v>0</v>
      </c>
      <c r="W219" s="4">
        <f t="shared" si="54"/>
        <v>0</v>
      </c>
      <c r="Y219" s="4">
        <f t="shared" si="55"/>
        <v>0</v>
      </c>
    </row>
    <row r="220" spans="1:25" hidden="1" outlineLevel="1" x14ac:dyDescent="0.35">
      <c r="A220" s="39" t="s">
        <v>671</v>
      </c>
      <c r="B220" s="39" t="s">
        <v>640</v>
      </c>
      <c r="C220" s="39" t="s">
        <v>672</v>
      </c>
      <c r="D220" s="39" t="s">
        <v>109</v>
      </c>
      <c r="E220" s="40" t="s">
        <v>109</v>
      </c>
      <c r="F220" s="39" t="s">
        <v>41</v>
      </c>
      <c r="G220" s="39" t="s">
        <v>110</v>
      </c>
      <c r="H220" s="47">
        <v>0</v>
      </c>
      <c r="I220" s="36">
        <f t="shared" si="47"/>
        <v>0</v>
      </c>
      <c r="J220" s="37">
        <f t="shared" si="48"/>
        <v>0</v>
      </c>
      <c r="K220" s="37">
        <f t="shared" si="49"/>
        <v>0</v>
      </c>
      <c r="M220" s="37">
        <f t="shared" si="50"/>
        <v>0</v>
      </c>
      <c r="O220" s="4">
        <f t="shared" si="51"/>
        <v>0</v>
      </c>
      <c r="Q220" s="4">
        <f t="shared" si="52"/>
        <v>0</v>
      </c>
      <c r="S220" s="4">
        <f t="shared" si="53"/>
        <v>0</v>
      </c>
      <c r="U220" s="4">
        <f t="shared" si="56"/>
        <v>0</v>
      </c>
      <c r="W220" s="4">
        <f t="shared" si="54"/>
        <v>0</v>
      </c>
      <c r="Y220" s="4">
        <f t="shared" si="55"/>
        <v>0</v>
      </c>
    </row>
    <row r="221" spans="1:25" hidden="1" outlineLevel="1" x14ac:dyDescent="0.35">
      <c r="A221" s="39" t="s">
        <v>673</v>
      </c>
      <c r="B221" s="39" t="s">
        <v>640</v>
      </c>
      <c r="C221" s="39" t="s">
        <v>109</v>
      </c>
      <c r="D221" s="39" t="s">
        <v>109</v>
      </c>
      <c r="E221" s="40" t="s">
        <v>109</v>
      </c>
      <c r="F221" s="39" t="s">
        <v>41</v>
      </c>
      <c r="G221" s="39" t="s">
        <v>110</v>
      </c>
      <c r="H221" s="47">
        <v>0</v>
      </c>
      <c r="I221" s="36">
        <f t="shared" si="47"/>
        <v>0</v>
      </c>
      <c r="J221" s="37">
        <f t="shared" si="48"/>
        <v>0</v>
      </c>
      <c r="K221" s="37">
        <f t="shared" si="49"/>
        <v>0</v>
      </c>
      <c r="M221" s="37">
        <f t="shared" si="50"/>
        <v>0</v>
      </c>
      <c r="O221" s="4">
        <f t="shared" si="51"/>
        <v>0</v>
      </c>
      <c r="Q221" s="4">
        <f t="shared" si="52"/>
        <v>0</v>
      </c>
      <c r="S221" s="4">
        <f t="shared" si="53"/>
        <v>0</v>
      </c>
      <c r="U221" s="4">
        <f t="shared" si="56"/>
        <v>0</v>
      </c>
      <c r="W221" s="4">
        <f t="shared" si="54"/>
        <v>0</v>
      </c>
      <c r="Y221" s="4">
        <f t="shared" si="55"/>
        <v>0</v>
      </c>
    </row>
    <row r="222" spans="1:25" hidden="1" outlineLevel="1" x14ac:dyDescent="0.35">
      <c r="A222" s="39" t="s">
        <v>674</v>
      </c>
      <c r="B222" s="39" t="s">
        <v>640</v>
      </c>
      <c r="C222" s="39" t="s">
        <v>109</v>
      </c>
      <c r="D222" s="39" t="s">
        <v>109</v>
      </c>
      <c r="E222" s="40" t="s">
        <v>109</v>
      </c>
      <c r="F222" s="39" t="s">
        <v>41</v>
      </c>
      <c r="G222" s="39" t="s">
        <v>110</v>
      </c>
      <c r="H222" s="47">
        <v>0</v>
      </c>
      <c r="I222" s="36">
        <f t="shared" si="47"/>
        <v>0</v>
      </c>
      <c r="J222" s="37">
        <f t="shared" si="48"/>
        <v>0</v>
      </c>
      <c r="K222" s="37">
        <f t="shared" si="49"/>
        <v>0</v>
      </c>
      <c r="M222" s="37">
        <f t="shared" si="50"/>
        <v>0</v>
      </c>
      <c r="O222" s="4">
        <f t="shared" si="51"/>
        <v>0</v>
      </c>
      <c r="Q222" s="4">
        <f t="shared" si="52"/>
        <v>0</v>
      </c>
      <c r="S222" s="4">
        <f t="shared" si="53"/>
        <v>0</v>
      </c>
      <c r="U222" s="4">
        <f t="shared" si="56"/>
        <v>0</v>
      </c>
      <c r="W222" s="4">
        <f t="shared" si="54"/>
        <v>0</v>
      </c>
      <c r="Y222" s="4">
        <f t="shared" si="55"/>
        <v>0</v>
      </c>
    </row>
    <row r="223" spans="1:25" hidden="1" outlineLevel="1" x14ac:dyDescent="0.35">
      <c r="A223" s="39" t="s">
        <v>675</v>
      </c>
      <c r="B223" s="39" t="s">
        <v>640</v>
      </c>
      <c r="C223" s="39" t="s">
        <v>676</v>
      </c>
      <c r="D223" s="39" t="s">
        <v>109</v>
      </c>
      <c r="E223" s="40" t="s">
        <v>109</v>
      </c>
      <c r="F223" s="39" t="s">
        <v>41</v>
      </c>
      <c r="G223" s="39" t="s">
        <v>110</v>
      </c>
      <c r="H223" s="47">
        <v>0</v>
      </c>
      <c r="I223" s="36">
        <f t="shared" si="47"/>
        <v>0</v>
      </c>
      <c r="J223" s="37">
        <f t="shared" si="48"/>
        <v>0</v>
      </c>
      <c r="K223" s="37">
        <f t="shared" si="49"/>
        <v>0</v>
      </c>
      <c r="M223" s="37">
        <f t="shared" si="50"/>
        <v>0</v>
      </c>
      <c r="O223" s="4">
        <f t="shared" si="51"/>
        <v>0</v>
      </c>
      <c r="Q223" s="4">
        <f t="shared" si="52"/>
        <v>0</v>
      </c>
      <c r="S223" s="4">
        <f t="shared" si="53"/>
        <v>0</v>
      </c>
      <c r="U223" s="4">
        <f t="shared" si="56"/>
        <v>0</v>
      </c>
      <c r="W223" s="4">
        <f t="shared" si="54"/>
        <v>0</v>
      </c>
      <c r="Y223" s="4">
        <f t="shared" si="55"/>
        <v>0</v>
      </c>
    </row>
    <row r="224" spans="1:25" hidden="1" outlineLevel="1" x14ac:dyDescent="0.35">
      <c r="A224" s="39" t="s">
        <v>677</v>
      </c>
      <c r="B224" s="39" t="s">
        <v>640</v>
      </c>
      <c r="C224" s="39" t="s">
        <v>678</v>
      </c>
      <c r="D224" s="39" t="s">
        <v>109</v>
      </c>
      <c r="E224" s="40" t="s">
        <v>109</v>
      </c>
      <c r="F224" s="39" t="s">
        <v>41</v>
      </c>
      <c r="G224" s="39" t="s">
        <v>110</v>
      </c>
      <c r="H224" s="47">
        <v>0</v>
      </c>
      <c r="I224" s="36">
        <f t="shared" si="47"/>
        <v>0</v>
      </c>
      <c r="J224" s="37">
        <f t="shared" si="48"/>
        <v>0</v>
      </c>
      <c r="K224" s="37">
        <f t="shared" si="49"/>
        <v>0</v>
      </c>
      <c r="M224" s="37">
        <f t="shared" si="50"/>
        <v>0</v>
      </c>
      <c r="O224" s="4">
        <f t="shared" si="51"/>
        <v>0</v>
      </c>
      <c r="Q224" s="4">
        <f t="shared" si="52"/>
        <v>0</v>
      </c>
      <c r="S224" s="4">
        <f t="shared" si="53"/>
        <v>0</v>
      </c>
      <c r="U224" s="4">
        <f t="shared" si="56"/>
        <v>0</v>
      </c>
      <c r="W224" s="4">
        <f t="shared" si="54"/>
        <v>0</v>
      </c>
      <c r="Y224" s="4">
        <f t="shared" si="55"/>
        <v>0</v>
      </c>
    </row>
    <row r="225" spans="1:25" hidden="1" outlineLevel="1" x14ac:dyDescent="0.35">
      <c r="A225" s="39" t="s">
        <v>679</v>
      </c>
      <c r="B225" s="39" t="s">
        <v>640</v>
      </c>
      <c r="C225" s="39" t="s">
        <v>680</v>
      </c>
      <c r="D225" s="39" t="s">
        <v>109</v>
      </c>
      <c r="E225" s="40" t="s">
        <v>230</v>
      </c>
      <c r="F225" s="39" t="s">
        <v>41</v>
      </c>
      <c r="G225" s="39" t="s">
        <v>110</v>
      </c>
      <c r="H225" s="47">
        <v>0</v>
      </c>
      <c r="I225" s="36">
        <f t="shared" si="47"/>
        <v>0</v>
      </c>
      <c r="J225" s="37">
        <f t="shared" si="48"/>
        <v>0</v>
      </c>
      <c r="K225" s="37">
        <f t="shared" si="49"/>
        <v>0</v>
      </c>
      <c r="M225" s="37">
        <f t="shared" si="50"/>
        <v>0</v>
      </c>
      <c r="O225" s="4">
        <f t="shared" si="51"/>
        <v>0</v>
      </c>
      <c r="Q225" s="4">
        <f t="shared" si="52"/>
        <v>0</v>
      </c>
      <c r="S225" s="4">
        <f t="shared" si="53"/>
        <v>0</v>
      </c>
      <c r="U225" s="4">
        <f t="shared" si="56"/>
        <v>0</v>
      </c>
      <c r="W225" s="4">
        <f t="shared" si="54"/>
        <v>0</v>
      </c>
      <c r="Y225" s="4">
        <f t="shared" si="55"/>
        <v>0</v>
      </c>
    </row>
    <row r="226" spans="1:25" hidden="1" outlineLevel="1" x14ac:dyDescent="0.35">
      <c r="A226" s="39" t="s">
        <v>681</v>
      </c>
      <c r="B226" s="39" t="s">
        <v>640</v>
      </c>
      <c r="C226" s="39" t="s">
        <v>109</v>
      </c>
      <c r="D226" s="39" t="s">
        <v>682</v>
      </c>
      <c r="E226" s="40" t="s">
        <v>226</v>
      </c>
      <c r="F226" s="39" t="s">
        <v>41</v>
      </c>
      <c r="G226" s="39" t="s">
        <v>110</v>
      </c>
      <c r="H226" s="47">
        <v>0</v>
      </c>
      <c r="I226" s="36">
        <f t="shared" si="47"/>
        <v>0</v>
      </c>
      <c r="J226" s="37">
        <f t="shared" si="48"/>
        <v>0</v>
      </c>
      <c r="K226" s="37">
        <f t="shared" si="49"/>
        <v>0</v>
      </c>
      <c r="M226" s="37">
        <f t="shared" si="50"/>
        <v>0</v>
      </c>
      <c r="O226" s="4">
        <f t="shared" si="51"/>
        <v>0</v>
      </c>
      <c r="Q226" s="4">
        <f t="shared" si="52"/>
        <v>0</v>
      </c>
      <c r="S226" s="4">
        <f t="shared" si="53"/>
        <v>0</v>
      </c>
      <c r="U226" s="4">
        <f t="shared" si="56"/>
        <v>0</v>
      </c>
      <c r="W226" s="4">
        <f t="shared" si="54"/>
        <v>0</v>
      </c>
      <c r="Y226" s="4">
        <f t="shared" si="55"/>
        <v>0</v>
      </c>
    </row>
    <row r="227" spans="1:25" hidden="1" outlineLevel="1" x14ac:dyDescent="0.35">
      <c r="A227" s="39" t="s">
        <v>683</v>
      </c>
      <c r="B227" s="39" t="s">
        <v>640</v>
      </c>
      <c r="C227" s="39" t="s">
        <v>684</v>
      </c>
      <c r="D227" s="39" t="s">
        <v>109</v>
      </c>
      <c r="E227" s="40" t="s">
        <v>109</v>
      </c>
      <c r="F227" s="39" t="s">
        <v>41</v>
      </c>
      <c r="G227" s="39" t="s">
        <v>110</v>
      </c>
      <c r="H227" s="47">
        <v>0</v>
      </c>
      <c r="I227" s="36">
        <f t="shared" si="47"/>
        <v>0</v>
      </c>
      <c r="J227" s="37">
        <f t="shared" si="48"/>
        <v>0</v>
      </c>
      <c r="K227" s="37">
        <f t="shared" si="49"/>
        <v>0</v>
      </c>
      <c r="M227" s="37">
        <f t="shared" si="50"/>
        <v>0</v>
      </c>
      <c r="O227" s="4">
        <f t="shared" si="51"/>
        <v>0</v>
      </c>
      <c r="Q227" s="4">
        <f t="shared" si="52"/>
        <v>0</v>
      </c>
      <c r="S227" s="4">
        <f t="shared" si="53"/>
        <v>0</v>
      </c>
      <c r="U227" s="4">
        <f t="shared" si="56"/>
        <v>0</v>
      </c>
      <c r="W227" s="4">
        <f t="shared" si="54"/>
        <v>0</v>
      </c>
      <c r="Y227" s="4">
        <f t="shared" si="55"/>
        <v>0</v>
      </c>
    </row>
    <row r="228" spans="1:25" hidden="1" outlineLevel="1" x14ac:dyDescent="0.35">
      <c r="A228" s="39" t="s">
        <v>685</v>
      </c>
      <c r="B228" s="39" t="s">
        <v>640</v>
      </c>
      <c r="C228" s="39" t="s">
        <v>109</v>
      </c>
      <c r="D228" s="39" t="s">
        <v>109</v>
      </c>
      <c r="E228" s="40" t="s">
        <v>109</v>
      </c>
      <c r="F228" s="39" t="s">
        <v>41</v>
      </c>
      <c r="G228" s="39" t="s">
        <v>110</v>
      </c>
      <c r="H228" s="47">
        <v>0</v>
      </c>
      <c r="I228" s="36">
        <f t="shared" si="47"/>
        <v>0</v>
      </c>
      <c r="J228" s="37">
        <f t="shared" si="48"/>
        <v>0</v>
      </c>
      <c r="K228" s="37">
        <f t="shared" si="49"/>
        <v>0</v>
      </c>
      <c r="M228" s="37">
        <f t="shared" si="50"/>
        <v>0</v>
      </c>
      <c r="O228" s="4">
        <f t="shared" si="51"/>
        <v>0</v>
      </c>
      <c r="Q228" s="4">
        <f t="shared" si="52"/>
        <v>0</v>
      </c>
      <c r="S228" s="4">
        <f t="shared" si="53"/>
        <v>0</v>
      </c>
      <c r="U228" s="4">
        <f t="shared" si="56"/>
        <v>0</v>
      </c>
      <c r="W228" s="4">
        <f t="shared" si="54"/>
        <v>0</v>
      </c>
      <c r="Y228" s="4">
        <f t="shared" si="55"/>
        <v>0</v>
      </c>
    </row>
    <row r="229" spans="1:25" hidden="1" outlineLevel="1" x14ac:dyDescent="0.35">
      <c r="A229" s="39" t="s">
        <v>686</v>
      </c>
      <c r="B229" s="39" t="s">
        <v>640</v>
      </c>
      <c r="C229" s="39" t="s">
        <v>687</v>
      </c>
      <c r="D229" s="39" t="s">
        <v>688</v>
      </c>
      <c r="E229" s="40" t="s">
        <v>126</v>
      </c>
      <c r="F229" s="39" t="s">
        <v>41</v>
      </c>
      <c r="G229" s="39" t="s">
        <v>110</v>
      </c>
      <c r="H229" s="47">
        <v>0</v>
      </c>
      <c r="I229" s="36">
        <f t="shared" si="47"/>
        <v>0</v>
      </c>
      <c r="J229" s="37">
        <f t="shared" si="48"/>
        <v>0</v>
      </c>
      <c r="K229" s="37">
        <f t="shared" si="49"/>
        <v>0</v>
      </c>
      <c r="M229" s="37">
        <f t="shared" si="50"/>
        <v>0</v>
      </c>
      <c r="O229" s="4">
        <f t="shared" si="51"/>
        <v>0</v>
      </c>
      <c r="Q229" s="4">
        <f t="shared" si="52"/>
        <v>0</v>
      </c>
      <c r="S229" s="4">
        <f t="shared" si="53"/>
        <v>0</v>
      </c>
      <c r="U229" s="4">
        <f t="shared" si="56"/>
        <v>0</v>
      </c>
      <c r="W229" s="4">
        <f t="shared" si="54"/>
        <v>0</v>
      </c>
      <c r="Y229" s="4">
        <f t="shared" si="55"/>
        <v>0</v>
      </c>
    </row>
    <row r="230" spans="1:25" hidden="1" outlineLevel="1" x14ac:dyDescent="0.35">
      <c r="A230" s="39" t="s">
        <v>689</v>
      </c>
      <c r="B230" s="39" t="s">
        <v>640</v>
      </c>
      <c r="C230" s="39" t="s">
        <v>690</v>
      </c>
      <c r="D230" s="39" t="s">
        <v>691</v>
      </c>
      <c r="E230" s="40" t="s">
        <v>91</v>
      </c>
      <c r="F230" s="39" t="s">
        <v>41</v>
      </c>
      <c r="G230" s="39" t="s">
        <v>110</v>
      </c>
      <c r="H230" s="47">
        <v>0</v>
      </c>
      <c r="I230" s="36">
        <f t="shared" si="47"/>
        <v>0</v>
      </c>
      <c r="J230" s="37">
        <f t="shared" si="48"/>
        <v>0</v>
      </c>
      <c r="K230" s="37">
        <f t="shared" si="49"/>
        <v>0</v>
      </c>
      <c r="M230" s="37">
        <f t="shared" si="50"/>
        <v>0</v>
      </c>
      <c r="O230" s="4">
        <f t="shared" si="51"/>
        <v>0</v>
      </c>
      <c r="Q230" s="4">
        <f t="shared" si="52"/>
        <v>0</v>
      </c>
      <c r="S230" s="4">
        <f t="shared" si="53"/>
        <v>0</v>
      </c>
      <c r="U230" s="4">
        <f t="shared" si="56"/>
        <v>0</v>
      </c>
      <c r="W230" s="4">
        <f t="shared" si="54"/>
        <v>0</v>
      </c>
      <c r="Y230" s="4">
        <f t="shared" si="55"/>
        <v>0</v>
      </c>
    </row>
    <row r="231" spans="1:25" hidden="1" outlineLevel="1" x14ac:dyDescent="0.35">
      <c r="A231" s="39" t="s">
        <v>692</v>
      </c>
      <c r="B231" s="39" t="s">
        <v>640</v>
      </c>
      <c r="C231" s="39" t="s">
        <v>693</v>
      </c>
      <c r="D231" s="39" t="s">
        <v>109</v>
      </c>
      <c r="E231" s="40" t="s">
        <v>109</v>
      </c>
      <c r="F231" s="39" t="s">
        <v>41</v>
      </c>
      <c r="G231" s="39" t="s">
        <v>110</v>
      </c>
      <c r="H231" s="47">
        <v>0</v>
      </c>
      <c r="I231" s="36">
        <f t="shared" si="47"/>
        <v>0</v>
      </c>
      <c r="J231" s="37">
        <f t="shared" si="48"/>
        <v>0</v>
      </c>
      <c r="K231" s="37">
        <f t="shared" si="49"/>
        <v>0</v>
      </c>
      <c r="M231" s="37">
        <f t="shared" si="50"/>
        <v>0</v>
      </c>
      <c r="O231" s="4">
        <f t="shared" si="51"/>
        <v>0</v>
      </c>
      <c r="Q231" s="4">
        <f t="shared" si="52"/>
        <v>0</v>
      </c>
      <c r="S231" s="4">
        <f t="shared" si="53"/>
        <v>0</v>
      </c>
      <c r="U231" s="4">
        <f t="shared" si="56"/>
        <v>0</v>
      </c>
      <c r="W231" s="4">
        <f t="shared" si="54"/>
        <v>0</v>
      </c>
      <c r="Y231" s="4">
        <f t="shared" si="55"/>
        <v>0</v>
      </c>
    </row>
    <row r="232" spans="1:25" hidden="1" outlineLevel="1" x14ac:dyDescent="0.35">
      <c r="A232" s="39" t="s">
        <v>694</v>
      </c>
      <c r="B232" s="39" t="s">
        <v>640</v>
      </c>
      <c r="C232" s="39" t="s">
        <v>695</v>
      </c>
      <c r="D232" s="39" t="s">
        <v>109</v>
      </c>
      <c r="E232" s="40" t="s">
        <v>109</v>
      </c>
      <c r="F232" s="39" t="s">
        <v>41</v>
      </c>
      <c r="G232" s="39" t="s">
        <v>110</v>
      </c>
      <c r="H232" s="47">
        <v>0</v>
      </c>
      <c r="I232" s="36">
        <f t="shared" si="47"/>
        <v>0</v>
      </c>
      <c r="J232" s="37">
        <f t="shared" si="48"/>
        <v>0</v>
      </c>
      <c r="K232" s="37">
        <f t="shared" si="49"/>
        <v>0</v>
      </c>
      <c r="M232" s="37">
        <f t="shared" si="50"/>
        <v>0</v>
      </c>
      <c r="O232" s="4">
        <f t="shared" si="51"/>
        <v>0</v>
      </c>
      <c r="Q232" s="4">
        <f t="shared" si="52"/>
        <v>0</v>
      </c>
      <c r="S232" s="4">
        <f t="shared" si="53"/>
        <v>0</v>
      </c>
      <c r="U232" s="4">
        <f t="shared" si="56"/>
        <v>0</v>
      </c>
      <c r="W232" s="4">
        <f t="shared" si="54"/>
        <v>0</v>
      </c>
      <c r="Y232" s="4">
        <f t="shared" si="55"/>
        <v>0</v>
      </c>
    </row>
    <row r="233" spans="1:25" hidden="1" outlineLevel="1" x14ac:dyDescent="0.35">
      <c r="A233" s="39" t="s">
        <v>696</v>
      </c>
      <c r="B233" s="39" t="s">
        <v>640</v>
      </c>
      <c r="C233" s="39" t="s">
        <v>109</v>
      </c>
      <c r="D233" s="39" t="s">
        <v>109</v>
      </c>
      <c r="E233" s="40" t="s">
        <v>109</v>
      </c>
      <c r="F233" s="39" t="s">
        <v>41</v>
      </c>
      <c r="G233" s="39" t="s">
        <v>110</v>
      </c>
      <c r="H233" s="47">
        <v>0</v>
      </c>
      <c r="I233" s="36">
        <f t="shared" si="47"/>
        <v>0</v>
      </c>
      <c r="J233" s="37">
        <f t="shared" si="48"/>
        <v>0</v>
      </c>
      <c r="K233" s="37">
        <f t="shared" si="49"/>
        <v>0</v>
      </c>
      <c r="M233" s="37">
        <f t="shared" si="50"/>
        <v>0</v>
      </c>
      <c r="O233" s="4">
        <f t="shared" si="51"/>
        <v>0</v>
      </c>
      <c r="Q233" s="4">
        <f t="shared" si="52"/>
        <v>0</v>
      </c>
      <c r="S233" s="4">
        <f t="shared" si="53"/>
        <v>0</v>
      </c>
      <c r="U233" s="4">
        <f t="shared" si="56"/>
        <v>0</v>
      </c>
      <c r="W233" s="4">
        <f t="shared" si="54"/>
        <v>0</v>
      </c>
      <c r="Y233" s="4">
        <f t="shared" si="55"/>
        <v>0</v>
      </c>
    </row>
    <row r="234" spans="1:25" ht="14.5" customHeight="1" collapsed="1" x14ac:dyDescent="0.25">
      <c r="A234" s="39"/>
      <c r="B234" s="39"/>
      <c r="C234" s="39"/>
      <c r="D234" s="39"/>
      <c r="E234" s="40"/>
      <c r="F234" s="39"/>
      <c r="G234" s="39"/>
      <c r="H234" s="41"/>
      <c r="J234" s="2"/>
      <c r="O234" s="2"/>
      <c r="Q234" s="2"/>
      <c r="Y234" s="3"/>
    </row>
    <row r="235" spans="1:25" ht="13" x14ac:dyDescent="0.3">
      <c r="A235" s="24" t="s">
        <v>697</v>
      </c>
      <c r="B235" s="25"/>
      <c r="C235" s="26">
        <f>COUNTA(A236:A560)</f>
        <v>325</v>
      </c>
      <c r="D235" s="25"/>
      <c r="E235" s="27"/>
      <c r="F235" s="25"/>
      <c r="G235" s="25"/>
      <c r="H235" s="28">
        <f>SUM(H237:H560)</f>
        <v>28631</v>
      </c>
      <c r="I235" s="28">
        <f>SUM(I236:I560)</f>
        <v>116216000</v>
      </c>
      <c r="J235" s="29">
        <f>SUM(J237:J560)</f>
        <v>1431.5500000000015</v>
      </c>
      <c r="K235" s="29">
        <f>SUM(K237:K560)</f>
        <v>2147.3249999999985</v>
      </c>
      <c r="M235" s="28">
        <f>SUM(M236:M560)</f>
        <v>907.9375</v>
      </c>
      <c r="O235" s="30">
        <f>SUM(O236:O560)</f>
        <v>435810000</v>
      </c>
      <c r="Q235" s="31">
        <f>SUM(Q236:Q560)</f>
        <v>36317500</v>
      </c>
      <c r="S235" s="31">
        <f>SUM(S236:S560)</f>
        <v>1452700</v>
      </c>
      <c r="U235" s="31">
        <f>SUM(U236:U560)</f>
        <v>5229720</v>
      </c>
      <c r="W235" s="31">
        <f>SUM(W236:W560)</f>
        <v>435810</v>
      </c>
      <c r="Y235" s="31">
        <f>SUM(Y236:Y560)</f>
        <v>453968.75</v>
      </c>
    </row>
    <row r="236" spans="1:25" ht="13" hidden="1" outlineLevel="1" x14ac:dyDescent="0.3">
      <c r="A236" s="24" t="s">
        <v>698</v>
      </c>
      <c r="B236" s="25" t="s">
        <v>109</v>
      </c>
      <c r="C236" s="26">
        <v>1</v>
      </c>
      <c r="D236" s="25" t="s">
        <v>699</v>
      </c>
      <c r="E236" s="27" t="s">
        <v>87</v>
      </c>
      <c r="F236" s="25" t="s">
        <v>41</v>
      </c>
      <c r="G236" s="25" t="s">
        <v>700</v>
      </c>
      <c r="H236" s="28">
        <v>423</v>
      </c>
      <c r="I236" s="28">
        <f>H236*$E$7</f>
        <v>1692000</v>
      </c>
      <c r="J236" s="29">
        <f t="shared" ref="J236:J299" si="57">H236*$F$7</f>
        <v>21.150000000000002</v>
      </c>
      <c r="K236" s="29">
        <f t="shared" ref="K236:K299" si="58">H236*$G$7</f>
        <v>31.724999999999998</v>
      </c>
      <c r="M236" s="28">
        <f>0.5*(AVERAGE(J236:K236))</f>
        <v>13.21875</v>
      </c>
      <c r="O236" s="30">
        <f>I236*$E$3</f>
        <v>6345000</v>
      </c>
      <c r="Q236" s="31">
        <f>I236*$E$3/12</f>
        <v>528750</v>
      </c>
      <c r="S236" s="31">
        <f>Q236*$E$4</f>
        <v>21150</v>
      </c>
      <c r="U236" s="31">
        <f>W236*12</f>
        <v>76140</v>
      </c>
      <c r="W236" s="31">
        <f>S236*$E$5</f>
        <v>6345</v>
      </c>
      <c r="Y236" s="31">
        <f>M236*$E$6</f>
        <v>6609.375</v>
      </c>
    </row>
    <row r="237" spans="1:25" ht="14.5" hidden="1" customHeight="1" outlineLevel="1" x14ac:dyDescent="0.35">
      <c r="A237" s="39" t="s">
        <v>701</v>
      </c>
      <c r="B237" s="39" t="s">
        <v>109</v>
      </c>
      <c r="C237" s="39" t="s">
        <v>109</v>
      </c>
      <c r="D237" s="39" t="s">
        <v>702</v>
      </c>
      <c r="E237" s="40" t="s">
        <v>302</v>
      </c>
      <c r="F237" s="39" t="s">
        <v>41</v>
      </c>
      <c r="G237" s="39" t="s">
        <v>703</v>
      </c>
      <c r="H237" s="41">
        <v>1413</v>
      </c>
      <c r="I237" s="36">
        <f t="shared" ref="I237:I300" si="59">$E$7*H237</f>
        <v>5652000</v>
      </c>
      <c r="J237" s="37">
        <f t="shared" si="57"/>
        <v>70.650000000000006</v>
      </c>
      <c r="K237" s="37">
        <f t="shared" si="58"/>
        <v>105.97499999999999</v>
      </c>
      <c r="M237" s="37">
        <f t="shared" ref="M237:M300" si="60">0.5*(AVERAGE(J237:K237))</f>
        <v>44.15625</v>
      </c>
      <c r="O237" s="4">
        <f t="shared" ref="O237:O300" si="61">I237*$E$3</f>
        <v>21195000</v>
      </c>
      <c r="Q237" s="4">
        <f t="shared" ref="Q237:Q300" si="62">I237*$E$3/12</f>
        <v>1766250</v>
      </c>
      <c r="S237" s="4">
        <f t="shared" ref="S237:S300" si="63">Q237*$E$4</f>
        <v>70650</v>
      </c>
      <c r="U237" s="4">
        <f>W237*12</f>
        <v>254340</v>
      </c>
      <c r="W237" s="4">
        <f t="shared" ref="W237:W300" si="64">S237*$E$5</f>
        <v>21195</v>
      </c>
      <c r="Y237" s="4">
        <f t="shared" ref="Y237:Y300" si="65">M237*$E$6</f>
        <v>22078.125</v>
      </c>
    </row>
    <row r="238" spans="1:25" ht="14.5" hidden="1" customHeight="1" outlineLevel="1" x14ac:dyDescent="0.35">
      <c r="A238" s="39" t="s">
        <v>704</v>
      </c>
      <c r="B238" s="39" t="s">
        <v>109</v>
      </c>
      <c r="C238" s="39" t="s">
        <v>705</v>
      </c>
      <c r="D238" s="39" t="s">
        <v>706</v>
      </c>
      <c r="E238" s="40" t="s">
        <v>196</v>
      </c>
      <c r="F238" s="39" t="s">
        <v>41</v>
      </c>
      <c r="G238" s="39" t="s">
        <v>707</v>
      </c>
      <c r="H238" s="41">
        <v>749</v>
      </c>
      <c r="I238" s="36">
        <f t="shared" si="59"/>
        <v>2996000</v>
      </c>
      <c r="J238" s="37">
        <f t="shared" si="57"/>
        <v>37.450000000000003</v>
      </c>
      <c r="K238" s="37">
        <f t="shared" si="58"/>
        <v>56.174999999999997</v>
      </c>
      <c r="M238" s="37">
        <f t="shared" si="60"/>
        <v>23.40625</v>
      </c>
      <c r="O238" s="4">
        <f t="shared" si="61"/>
        <v>11235000</v>
      </c>
      <c r="Q238" s="4">
        <f t="shared" si="62"/>
        <v>936250</v>
      </c>
      <c r="S238" s="4">
        <f t="shared" si="63"/>
        <v>37450</v>
      </c>
      <c r="U238" s="4">
        <f t="shared" ref="U238:U301" si="66">W238*12</f>
        <v>134820</v>
      </c>
      <c r="W238" s="4">
        <f t="shared" si="64"/>
        <v>11235</v>
      </c>
      <c r="Y238" s="4">
        <f t="shared" si="65"/>
        <v>11703.125</v>
      </c>
    </row>
    <row r="239" spans="1:25" ht="14.5" hidden="1" customHeight="1" outlineLevel="1" x14ac:dyDescent="0.35">
      <c r="A239" s="39" t="s">
        <v>708</v>
      </c>
      <c r="B239" s="39" t="s">
        <v>109</v>
      </c>
      <c r="C239" s="39" t="s">
        <v>709</v>
      </c>
      <c r="D239" s="39" t="s">
        <v>702</v>
      </c>
      <c r="E239" s="40" t="s">
        <v>302</v>
      </c>
      <c r="F239" s="39" t="s">
        <v>41</v>
      </c>
      <c r="G239" s="39" t="s">
        <v>710</v>
      </c>
      <c r="H239" s="41">
        <v>734</v>
      </c>
      <c r="I239" s="36">
        <f t="shared" si="59"/>
        <v>2936000</v>
      </c>
      <c r="J239" s="37">
        <f t="shared" si="57"/>
        <v>36.700000000000003</v>
      </c>
      <c r="K239" s="37">
        <f t="shared" si="58"/>
        <v>55.05</v>
      </c>
      <c r="M239" s="37">
        <f t="shared" si="60"/>
        <v>22.9375</v>
      </c>
      <c r="O239" s="4">
        <f t="shared" si="61"/>
        <v>11010000</v>
      </c>
      <c r="Q239" s="4">
        <f t="shared" si="62"/>
        <v>917500</v>
      </c>
      <c r="S239" s="4">
        <f t="shared" si="63"/>
        <v>36700</v>
      </c>
      <c r="U239" s="4">
        <f t="shared" si="66"/>
        <v>132120</v>
      </c>
      <c r="W239" s="4">
        <f t="shared" si="64"/>
        <v>11010</v>
      </c>
      <c r="Y239" s="4">
        <f t="shared" si="65"/>
        <v>11468.75</v>
      </c>
    </row>
    <row r="240" spans="1:25" ht="14.5" hidden="1" customHeight="1" outlineLevel="1" x14ac:dyDescent="0.35">
      <c r="A240" s="39" t="s">
        <v>711</v>
      </c>
      <c r="B240" s="39" t="s">
        <v>109</v>
      </c>
      <c r="C240" s="39" t="s">
        <v>712</v>
      </c>
      <c r="D240" s="39" t="s">
        <v>181</v>
      </c>
      <c r="E240" s="40" t="s">
        <v>161</v>
      </c>
      <c r="F240" s="39" t="s">
        <v>101</v>
      </c>
      <c r="G240" s="39" t="s">
        <v>713</v>
      </c>
      <c r="H240" s="41">
        <v>679</v>
      </c>
      <c r="I240" s="36">
        <f t="shared" si="59"/>
        <v>2716000</v>
      </c>
      <c r="J240" s="37">
        <f t="shared" si="57"/>
        <v>33.950000000000003</v>
      </c>
      <c r="K240" s="37">
        <f t="shared" si="58"/>
        <v>50.924999999999997</v>
      </c>
      <c r="M240" s="37">
        <f t="shared" si="60"/>
        <v>21.21875</v>
      </c>
      <c r="O240" s="4">
        <f t="shared" si="61"/>
        <v>10185000</v>
      </c>
      <c r="Q240" s="4">
        <f t="shared" si="62"/>
        <v>848750</v>
      </c>
      <c r="S240" s="4">
        <f t="shared" si="63"/>
        <v>33950</v>
      </c>
      <c r="U240" s="4">
        <f t="shared" si="66"/>
        <v>122220</v>
      </c>
      <c r="W240" s="4">
        <f t="shared" si="64"/>
        <v>10185</v>
      </c>
      <c r="Y240" s="4">
        <f t="shared" si="65"/>
        <v>10609.375</v>
      </c>
    </row>
    <row r="241" spans="1:25" ht="14.5" hidden="1" customHeight="1" outlineLevel="1" x14ac:dyDescent="0.35">
      <c r="A241" s="39" t="s">
        <v>714</v>
      </c>
      <c r="B241" s="39" t="s">
        <v>109</v>
      </c>
      <c r="C241" s="39" t="s">
        <v>715</v>
      </c>
      <c r="D241" s="39" t="s">
        <v>716</v>
      </c>
      <c r="E241" s="40" t="s">
        <v>66</v>
      </c>
      <c r="F241" s="39" t="s">
        <v>41</v>
      </c>
      <c r="G241" s="39" t="s">
        <v>717</v>
      </c>
      <c r="H241" s="41">
        <v>675</v>
      </c>
      <c r="I241" s="36">
        <f t="shared" si="59"/>
        <v>2700000</v>
      </c>
      <c r="J241" s="37">
        <f t="shared" si="57"/>
        <v>33.75</v>
      </c>
      <c r="K241" s="37">
        <f t="shared" si="58"/>
        <v>50.625</v>
      </c>
      <c r="M241" s="37">
        <f t="shared" si="60"/>
        <v>21.09375</v>
      </c>
      <c r="O241" s="4">
        <f t="shared" si="61"/>
        <v>10125000</v>
      </c>
      <c r="Q241" s="4">
        <f t="shared" si="62"/>
        <v>843750</v>
      </c>
      <c r="S241" s="4">
        <f t="shared" si="63"/>
        <v>33750</v>
      </c>
      <c r="U241" s="4">
        <f t="shared" si="66"/>
        <v>121500</v>
      </c>
      <c r="W241" s="4">
        <f t="shared" si="64"/>
        <v>10125</v>
      </c>
      <c r="Y241" s="4">
        <f t="shared" si="65"/>
        <v>10546.875</v>
      </c>
    </row>
    <row r="242" spans="1:25" ht="14.5" hidden="1" customHeight="1" outlineLevel="1" x14ac:dyDescent="0.35">
      <c r="A242" s="39" t="s">
        <v>718</v>
      </c>
      <c r="B242" s="39" t="s">
        <v>109</v>
      </c>
      <c r="C242" s="39" t="s">
        <v>719</v>
      </c>
      <c r="D242" s="39" t="s">
        <v>720</v>
      </c>
      <c r="E242" s="40" t="s">
        <v>721</v>
      </c>
      <c r="F242" s="39" t="s">
        <v>41</v>
      </c>
      <c r="G242" s="39" t="s">
        <v>722</v>
      </c>
      <c r="H242" s="41">
        <v>580</v>
      </c>
      <c r="I242" s="36">
        <f t="shared" si="59"/>
        <v>2320000</v>
      </c>
      <c r="J242" s="37">
        <f t="shared" si="57"/>
        <v>29</v>
      </c>
      <c r="K242" s="37">
        <f t="shared" si="58"/>
        <v>43.5</v>
      </c>
      <c r="M242" s="37">
        <f t="shared" si="60"/>
        <v>18.125</v>
      </c>
      <c r="O242" s="4">
        <f t="shared" si="61"/>
        <v>8700000</v>
      </c>
      <c r="Q242" s="4">
        <f t="shared" si="62"/>
        <v>725000</v>
      </c>
      <c r="S242" s="4">
        <f t="shared" si="63"/>
        <v>29000</v>
      </c>
      <c r="U242" s="4">
        <f t="shared" si="66"/>
        <v>104400</v>
      </c>
      <c r="W242" s="4">
        <f t="shared" si="64"/>
        <v>8700</v>
      </c>
      <c r="Y242" s="4">
        <f t="shared" si="65"/>
        <v>9062.5</v>
      </c>
    </row>
    <row r="243" spans="1:25" ht="14.5" hidden="1" customHeight="1" outlineLevel="1" x14ac:dyDescent="0.35">
      <c r="A243" s="39" t="s">
        <v>723</v>
      </c>
      <c r="B243" s="39" t="s">
        <v>109</v>
      </c>
      <c r="C243" s="39" t="s">
        <v>109</v>
      </c>
      <c r="D243" s="39" t="s">
        <v>724</v>
      </c>
      <c r="E243" s="40" t="s">
        <v>46</v>
      </c>
      <c r="F243" s="39" t="s">
        <v>41</v>
      </c>
      <c r="G243" s="39" t="s">
        <v>725</v>
      </c>
      <c r="H243" s="41">
        <v>558</v>
      </c>
      <c r="I243" s="36">
        <f t="shared" si="59"/>
        <v>2232000</v>
      </c>
      <c r="J243" s="37">
        <f t="shared" si="57"/>
        <v>27.900000000000002</v>
      </c>
      <c r="K243" s="37">
        <f t="shared" si="58"/>
        <v>41.85</v>
      </c>
      <c r="M243" s="37">
        <f t="shared" si="60"/>
        <v>17.4375</v>
      </c>
      <c r="O243" s="4">
        <f t="shared" si="61"/>
        <v>8370000</v>
      </c>
      <c r="Q243" s="4">
        <f t="shared" si="62"/>
        <v>697500</v>
      </c>
      <c r="S243" s="4">
        <f t="shared" si="63"/>
        <v>27900</v>
      </c>
      <c r="U243" s="4">
        <f t="shared" si="66"/>
        <v>100440</v>
      </c>
      <c r="W243" s="4">
        <f t="shared" si="64"/>
        <v>8370</v>
      </c>
      <c r="Y243" s="4">
        <f t="shared" si="65"/>
        <v>8718.75</v>
      </c>
    </row>
    <row r="244" spans="1:25" ht="14.5" hidden="1" customHeight="1" outlineLevel="1" x14ac:dyDescent="0.35">
      <c r="A244" s="39" t="s">
        <v>726</v>
      </c>
      <c r="B244" s="39" t="s">
        <v>109</v>
      </c>
      <c r="C244" s="39" t="s">
        <v>109</v>
      </c>
      <c r="D244" s="39" t="s">
        <v>727</v>
      </c>
      <c r="E244" s="40" t="s">
        <v>46</v>
      </c>
      <c r="F244" s="39" t="s">
        <v>41</v>
      </c>
      <c r="G244" s="39" t="s">
        <v>728</v>
      </c>
      <c r="H244" s="41">
        <v>558</v>
      </c>
      <c r="I244" s="36">
        <f t="shared" si="59"/>
        <v>2232000</v>
      </c>
      <c r="J244" s="37">
        <f t="shared" si="57"/>
        <v>27.900000000000002</v>
      </c>
      <c r="K244" s="37">
        <f t="shared" si="58"/>
        <v>41.85</v>
      </c>
      <c r="M244" s="37">
        <f t="shared" si="60"/>
        <v>17.4375</v>
      </c>
      <c r="O244" s="4">
        <f t="shared" si="61"/>
        <v>8370000</v>
      </c>
      <c r="Q244" s="4">
        <f t="shared" si="62"/>
        <v>697500</v>
      </c>
      <c r="S244" s="4">
        <f t="shared" si="63"/>
        <v>27900</v>
      </c>
      <c r="U244" s="4">
        <f t="shared" si="66"/>
        <v>100440</v>
      </c>
      <c r="W244" s="4">
        <f t="shared" si="64"/>
        <v>8370</v>
      </c>
      <c r="Y244" s="4">
        <f t="shared" si="65"/>
        <v>8718.75</v>
      </c>
    </row>
    <row r="245" spans="1:25" ht="14.5" hidden="1" customHeight="1" outlineLevel="1" x14ac:dyDescent="0.35">
      <c r="A245" s="39" t="s">
        <v>729</v>
      </c>
      <c r="B245" s="39" t="s">
        <v>109</v>
      </c>
      <c r="C245" s="39" t="s">
        <v>730</v>
      </c>
      <c r="D245" s="39" t="s">
        <v>731</v>
      </c>
      <c r="E245" s="40" t="s">
        <v>507</v>
      </c>
      <c r="F245" s="39" t="s">
        <v>41</v>
      </c>
      <c r="G245" s="39" t="s">
        <v>732</v>
      </c>
      <c r="H245" s="41">
        <v>540</v>
      </c>
      <c r="I245" s="36">
        <f t="shared" si="59"/>
        <v>2160000</v>
      </c>
      <c r="J245" s="37">
        <f t="shared" si="57"/>
        <v>27</v>
      </c>
      <c r="K245" s="37">
        <f t="shared" si="58"/>
        <v>40.5</v>
      </c>
      <c r="M245" s="37">
        <f t="shared" si="60"/>
        <v>16.875</v>
      </c>
      <c r="O245" s="4">
        <f t="shared" si="61"/>
        <v>8100000</v>
      </c>
      <c r="Q245" s="4">
        <f t="shared" si="62"/>
        <v>675000</v>
      </c>
      <c r="S245" s="4">
        <f t="shared" si="63"/>
        <v>27000</v>
      </c>
      <c r="U245" s="4">
        <f t="shared" si="66"/>
        <v>97200</v>
      </c>
      <c r="W245" s="4">
        <f t="shared" si="64"/>
        <v>8100</v>
      </c>
      <c r="Y245" s="4">
        <f t="shared" si="65"/>
        <v>8437.5</v>
      </c>
    </row>
    <row r="246" spans="1:25" ht="14.5" hidden="1" customHeight="1" outlineLevel="1" x14ac:dyDescent="0.35">
      <c r="A246" s="39" t="s">
        <v>733</v>
      </c>
      <c r="B246" s="39" t="s">
        <v>109</v>
      </c>
      <c r="C246" s="39" t="s">
        <v>109</v>
      </c>
      <c r="D246" s="39" t="s">
        <v>669</v>
      </c>
      <c r="E246" s="40" t="s">
        <v>114</v>
      </c>
      <c r="F246" s="39" t="s">
        <v>41</v>
      </c>
      <c r="G246" s="39" t="s">
        <v>734</v>
      </c>
      <c r="H246" s="41">
        <v>538</v>
      </c>
      <c r="I246" s="36">
        <f t="shared" si="59"/>
        <v>2152000</v>
      </c>
      <c r="J246" s="37">
        <f t="shared" si="57"/>
        <v>26.900000000000002</v>
      </c>
      <c r="K246" s="37">
        <f t="shared" si="58"/>
        <v>40.35</v>
      </c>
      <c r="M246" s="37">
        <f t="shared" si="60"/>
        <v>16.8125</v>
      </c>
      <c r="O246" s="4">
        <f t="shared" si="61"/>
        <v>8070000</v>
      </c>
      <c r="Q246" s="4">
        <f t="shared" si="62"/>
        <v>672500</v>
      </c>
      <c r="S246" s="4">
        <f t="shared" si="63"/>
        <v>26900</v>
      </c>
      <c r="U246" s="4">
        <f t="shared" si="66"/>
        <v>96840</v>
      </c>
      <c r="W246" s="4">
        <f t="shared" si="64"/>
        <v>8070</v>
      </c>
      <c r="Y246" s="4">
        <f t="shared" si="65"/>
        <v>8406.25</v>
      </c>
    </row>
    <row r="247" spans="1:25" ht="14.5" hidden="1" customHeight="1" outlineLevel="1" x14ac:dyDescent="0.35">
      <c r="A247" s="39" t="s">
        <v>735</v>
      </c>
      <c r="B247" s="39" t="s">
        <v>109</v>
      </c>
      <c r="C247" s="39" t="s">
        <v>494</v>
      </c>
      <c r="D247" s="39" t="s">
        <v>736</v>
      </c>
      <c r="E247" s="40" t="s">
        <v>441</v>
      </c>
      <c r="F247" s="39" t="s">
        <v>101</v>
      </c>
      <c r="G247" s="39" t="s">
        <v>737</v>
      </c>
      <c r="H247" s="41">
        <v>441</v>
      </c>
      <c r="I247" s="36">
        <f t="shared" si="59"/>
        <v>1764000</v>
      </c>
      <c r="J247" s="37">
        <f t="shared" si="57"/>
        <v>22.05</v>
      </c>
      <c r="K247" s="37">
        <f t="shared" si="58"/>
        <v>33.074999999999996</v>
      </c>
      <c r="M247" s="37">
        <f t="shared" si="60"/>
        <v>13.78125</v>
      </c>
      <c r="O247" s="4">
        <f t="shared" si="61"/>
        <v>6615000</v>
      </c>
      <c r="Q247" s="4">
        <f t="shared" si="62"/>
        <v>551250</v>
      </c>
      <c r="S247" s="4">
        <f t="shared" si="63"/>
        <v>22050</v>
      </c>
      <c r="U247" s="4">
        <f t="shared" si="66"/>
        <v>79380</v>
      </c>
      <c r="W247" s="4">
        <f t="shared" si="64"/>
        <v>6615</v>
      </c>
      <c r="Y247" s="4">
        <f t="shared" si="65"/>
        <v>6890.625</v>
      </c>
    </row>
    <row r="248" spans="1:25" ht="14.5" hidden="1" customHeight="1" outlineLevel="1" x14ac:dyDescent="0.35">
      <c r="A248" s="39" t="s">
        <v>738</v>
      </c>
      <c r="B248" s="39" t="s">
        <v>109</v>
      </c>
      <c r="C248" s="39" t="s">
        <v>739</v>
      </c>
      <c r="D248" s="39" t="s">
        <v>740</v>
      </c>
      <c r="E248" s="40" t="s">
        <v>78</v>
      </c>
      <c r="F248" s="39" t="s">
        <v>41</v>
      </c>
      <c r="G248" s="39" t="s">
        <v>741</v>
      </c>
      <c r="H248" s="41">
        <v>400</v>
      </c>
      <c r="I248" s="36">
        <f t="shared" si="59"/>
        <v>1600000</v>
      </c>
      <c r="J248" s="37">
        <f t="shared" si="57"/>
        <v>20</v>
      </c>
      <c r="K248" s="37">
        <f t="shared" si="58"/>
        <v>30</v>
      </c>
      <c r="M248" s="37">
        <f t="shared" si="60"/>
        <v>12.5</v>
      </c>
      <c r="O248" s="4">
        <f t="shared" si="61"/>
        <v>6000000</v>
      </c>
      <c r="Q248" s="4">
        <f t="shared" si="62"/>
        <v>500000</v>
      </c>
      <c r="S248" s="4">
        <f t="shared" si="63"/>
        <v>20000</v>
      </c>
      <c r="U248" s="4">
        <f t="shared" si="66"/>
        <v>72000</v>
      </c>
      <c r="W248" s="4">
        <f t="shared" si="64"/>
        <v>6000</v>
      </c>
      <c r="Y248" s="4">
        <f t="shared" si="65"/>
        <v>6250</v>
      </c>
    </row>
    <row r="249" spans="1:25" ht="14.5" hidden="1" customHeight="1" outlineLevel="1" x14ac:dyDescent="0.35">
      <c r="A249" s="39" t="s">
        <v>742</v>
      </c>
      <c r="B249" s="39" t="s">
        <v>109</v>
      </c>
      <c r="C249" s="39" t="s">
        <v>743</v>
      </c>
      <c r="D249" s="39" t="s">
        <v>744</v>
      </c>
      <c r="E249" s="40" t="s">
        <v>745</v>
      </c>
      <c r="F249" s="39" t="s">
        <v>41</v>
      </c>
      <c r="G249" s="39" t="s">
        <v>746</v>
      </c>
      <c r="H249" s="41">
        <v>389</v>
      </c>
      <c r="I249" s="36">
        <f t="shared" si="59"/>
        <v>1556000</v>
      </c>
      <c r="J249" s="37">
        <f t="shared" si="57"/>
        <v>19.450000000000003</v>
      </c>
      <c r="K249" s="37">
        <f t="shared" si="58"/>
        <v>29.174999999999997</v>
      </c>
      <c r="M249" s="37">
        <f t="shared" si="60"/>
        <v>12.15625</v>
      </c>
      <c r="O249" s="4">
        <f t="shared" si="61"/>
        <v>5835000</v>
      </c>
      <c r="Q249" s="4">
        <f t="shared" si="62"/>
        <v>486250</v>
      </c>
      <c r="S249" s="4">
        <f t="shared" si="63"/>
        <v>19450</v>
      </c>
      <c r="U249" s="4">
        <f t="shared" si="66"/>
        <v>70020</v>
      </c>
      <c r="W249" s="4">
        <f t="shared" si="64"/>
        <v>5835</v>
      </c>
      <c r="Y249" s="4">
        <f t="shared" si="65"/>
        <v>6078.125</v>
      </c>
    </row>
    <row r="250" spans="1:25" ht="14.5" hidden="1" customHeight="1" outlineLevel="1" x14ac:dyDescent="0.35">
      <c r="A250" s="39" t="s">
        <v>747</v>
      </c>
      <c r="B250" s="39" t="s">
        <v>109</v>
      </c>
      <c r="C250" s="39" t="s">
        <v>748</v>
      </c>
      <c r="D250" s="39" t="s">
        <v>749</v>
      </c>
      <c r="E250" s="40" t="s">
        <v>750</v>
      </c>
      <c r="F250" s="39" t="s">
        <v>41</v>
      </c>
      <c r="G250" s="39" t="s">
        <v>110</v>
      </c>
      <c r="H250" s="41">
        <v>388</v>
      </c>
      <c r="I250" s="36">
        <f t="shared" si="59"/>
        <v>1552000</v>
      </c>
      <c r="J250" s="37">
        <f t="shared" si="57"/>
        <v>19.400000000000002</v>
      </c>
      <c r="K250" s="37">
        <f t="shared" si="58"/>
        <v>29.099999999999998</v>
      </c>
      <c r="M250" s="37">
        <f t="shared" si="60"/>
        <v>12.125</v>
      </c>
      <c r="O250" s="4">
        <f t="shared" si="61"/>
        <v>5820000</v>
      </c>
      <c r="Q250" s="4">
        <f t="shared" si="62"/>
        <v>485000</v>
      </c>
      <c r="S250" s="4">
        <f t="shared" si="63"/>
        <v>19400</v>
      </c>
      <c r="U250" s="4">
        <f t="shared" si="66"/>
        <v>69840</v>
      </c>
      <c r="W250" s="4">
        <f t="shared" si="64"/>
        <v>5820</v>
      </c>
      <c r="Y250" s="4">
        <f t="shared" si="65"/>
        <v>6062.5</v>
      </c>
    </row>
    <row r="251" spans="1:25" ht="14.5" hidden="1" customHeight="1" outlineLevel="1" x14ac:dyDescent="0.35">
      <c r="A251" s="39" t="s">
        <v>751</v>
      </c>
      <c r="B251" s="39" t="s">
        <v>109</v>
      </c>
      <c r="C251" s="39" t="s">
        <v>109</v>
      </c>
      <c r="D251" s="39" t="s">
        <v>752</v>
      </c>
      <c r="E251" s="40" t="s">
        <v>138</v>
      </c>
      <c r="F251" s="39" t="s">
        <v>41</v>
      </c>
      <c r="G251" s="39" t="s">
        <v>753</v>
      </c>
      <c r="H251" s="41">
        <v>355</v>
      </c>
      <c r="I251" s="36">
        <f t="shared" si="59"/>
        <v>1420000</v>
      </c>
      <c r="J251" s="37">
        <f t="shared" si="57"/>
        <v>17.75</v>
      </c>
      <c r="K251" s="37">
        <f t="shared" si="58"/>
        <v>26.625</v>
      </c>
      <c r="M251" s="37">
        <f t="shared" si="60"/>
        <v>11.09375</v>
      </c>
      <c r="O251" s="4">
        <f t="shared" si="61"/>
        <v>5325000</v>
      </c>
      <c r="Q251" s="4">
        <f t="shared" si="62"/>
        <v>443750</v>
      </c>
      <c r="S251" s="4">
        <f t="shared" si="63"/>
        <v>17750</v>
      </c>
      <c r="U251" s="4">
        <f t="shared" si="66"/>
        <v>63900</v>
      </c>
      <c r="W251" s="4">
        <f t="shared" si="64"/>
        <v>5325</v>
      </c>
      <c r="Y251" s="4">
        <f t="shared" si="65"/>
        <v>5546.875</v>
      </c>
    </row>
    <row r="252" spans="1:25" ht="14.5" hidden="1" customHeight="1" outlineLevel="1" x14ac:dyDescent="0.35">
      <c r="A252" s="39" t="s">
        <v>754</v>
      </c>
      <c r="B252" s="39" t="s">
        <v>109</v>
      </c>
      <c r="C252" s="39" t="s">
        <v>755</v>
      </c>
      <c r="D252" s="39" t="s">
        <v>145</v>
      </c>
      <c r="E252" s="40" t="s">
        <v>146</v>
      </c>
      <c r="F252" s="39" t="s">
        <v>41</v>
      </c>
      <c r="G252" s="39" t="s">
        <v>756</v>
      </c>
      <c r="H252" s="41">
        <v>351</v>
      </c>
      <c r="I252" s="36">
        <f t="shared" si="59"/>
        <v>1404000</v>
      </c>
      <c r="J252" s="37">
        <f t="shared" si="57"/>
        <v>17.55</v>
      </c>
      <c r="K252" s="37">
        <f t="shared" si="58"/>
        <v>26.324999999999999</v>
      </c>
      <c r="M252" s="37">
        <f t="shared" si="60"/>
        <v>10.96875</v>
      </c>
      <c r="O252" s="4">
        <f t="shared" si="61"/>
        <v>5265000</v>
      </c>
      <c r="Q252" s="4">
        <f t="shared" si="62"/>
        <v>438750</v>
      </c>
      <c r="S252" s="4">
        <f t="shared" si="63"/>
        <v>17550</v>
      </c>
      <c r="U252" s="4">
        <f t="shared" si="66"/>
        <v>63180</v>
      </c>
      <c r="W252" s="4">
        <f t="shared" si="64"/>
        <v>5265</v>
      </c>
      <c r="Y252" s="4">
        <f t="shared" si="65"/>
        <v>5484.375</v>
      </c>
    </row>
    <row r="253" spans="1:25" ht="14.5" hidden="1" customHeight="1" outlineLevel="1" x14ac:dyDescent="0.35">
      <c r="A253" s="39" t="s">
        <v>757</v>
      </c>
      <c r="B253" s="39" t="s">
        <v>109</v>
      </c>
      <c r="C253" s="39" t="s">
        <v>109</v>
      </c>
      <c r="D253" s="39" t="s">
        <v>758</v>
      </c>
      <c r="E253" s="40" t="s">
        <v>78</v>
      </c>
      <c r="F253" s="39" t="s">
        <v>41</v>
      </c>
      <c r="G253" s="39" t="s">
        <v>759</v>
      </c>
      <c r="H253" s="41">
        <v>349</v>
      </c>
      <c r="I253" s="36">
        <f t="shared" si="59"/>
        <v>1396000</v>
      </c>
      <c r="J253" s="37">
        <f t="shared" si="57"/>
        <v>17.45</v>
      </c>
      <c r="K253" s="37">
        <f t="shared" si="58"/>
        <v>26.175000000000001</v>
      </c>
      <c r="M253" s="37">
        <f t="shared" si="60"/>
        <v>10.90625</v>
      </c>
      <c r="O253" s="4">
        <f t="shared" si="61"/>
        <v>5235000</v>
      </c>
      <c r="Q253" s="4">
        <f t="shared" si="62"/>
        <v>436250</v>
      </c>
      <c r="S253" s="4">
        <f t="shared" si="63"/>
        <v>17450</v>
      </c>
      <c r="U253" s="4">
        <f t="shared" si="66"/>
        <v>62820</v>
      </c>
      <c r="W253" s="4">
        <f t="shared" si="64"/>
        <v>5235</v>
      </c>
      <c r="Y253" s="4">
        <f t="shared" si="65"/>
        <v>5453.125</v>
      </c>
    </row>
    <row r="254" spans="1:25" ht="14.5" hidden="1" customHeight="1" outlineLevel="1" x14ac:dyDescent="0.35">
      <c r="A254" s="39" t="s">
        <v>760</v>
      </c>
      <c r="B254" s="39" t="s">
        <v>109</v>
      </c>
      <c r="C254" s="39" t="s">
        <v>761</v>
      </c>
      <c r="D254" s="39" t="s">
        <v>762</v>
      </c>
      <c r="E254" s="40" t="s">
        <v>302</v>
      </c>
      <c r="F254" s="39" t="s">
        <v>41</v>
      </c>
      <c r="G254" s="39" t="s">
        <v>763</v>
      </c>
      <c r="H254" s="41">
        <v>300</v>
      </c>
      <c r="I254" s="36">
        <f t="shared" si="59"/>
        <v>1200000</v>
      </c>
      <c r="J254" s="37">
        <f t="shared" si="57"/>
        <v>15</v>
      </c>
      <c r="K254" s="37">
        <f t="shared" si="58"/>
        <v>22.5</v>
      </c>
      <c r="M254" s="37">
        <f t="shared" si="60"/>
        <v>9.375</v>
      </c>
      <c r="O254" s="4">
        <f t="shared" si="61"/>
        <v>4500000</v>
      </c>
      <c r="Q254" s="4">
        <f t="shared" si="62"/>
        <v>375000</v>
      </c>
      <c r="S254" s="4">
        <f t="shared" si="63"/>
        <v>15000</v>
      </c>
      <c r="U254" s="4">
        <f t="shared" si="66"/>
        <v>54000</v>
      </c>
      <c r="W254" s="4">
        <f t="shared" si="64"/>
        <v>4500</v>
      </c>
      <c r="Y254" s="4">
        <f t="shared" si="65"/>
        <v>4687.5</v>
      </c>
    </row>
    <row r="255" spans="1:25" ht="14.5" hidden="1" customHeight="1" outlineLevel="1" x14ac:dyDescent="0.35">
      <c r="A255" s="39" t="s">
        <v>764</v>
      </c>
      <c r="B255" s="39" t="s">
        <v>109</v>
      </c>
      <c r="C255" s="39" t="s">
        <v>109</v>
      </c>
      <c r="D255" s="39" t="s">
        <v>765</v>
      </c>
      <c r="E255" s="40" t="s">
        <v>78</v>
      </c>
      <c r="F255" s="39" t="s">
        <v>41</v>
      </c>
      <c r="G255" s="39" t="s">
        <v>766</v>
      </c>
      <c r="H255" s="41">
        <v>289</v>
      </c>
      <c r="I255" s="36">
        <f t="shared" si="59"/>
        <v>1156000</v>
      </c>
      <c r="J255" s="37">
        <f t="shared" si="57"/>
        <v>14.450000000000001</v>
      </c>
      <c r="K255" s="37">
        <f t="shared" si="58"/>
        <v>21.675000000000001</v>
      </c>
      <c r="M255" s="37">
        <f t="shared" si="60"/>
        <v>9.03125</v>
      </c>
      <c r="O255" s="4">
        <f t="shared" si="61"/>
        <v>4335000</v>
      </c>
      <c r="Q255" s="4">
        <f t="shared" si="62"/>
        <v>361250</v>
      </c>
      <c r="S255" s="4">
        <f t="shared" si="63"/>
        <v>14450</v>
      </c>
      <c r="U255" s="4">
        <f t="shared" si="66"/>
        <v>52020</v>
      </c>
      <c r="W255" s="4">
        <f t="shared" si="64"/>
        <v>4335</v>
      </c>
      <c r="Y255" s="4">
        <f t="shared" si="65"/>
        <v>4515.625</v>
      </c>
    </row>
    <row r="256" spans="1:25" ht="14.5" hidden="1" customHeight="1" outlineLevel="1" x14ac:dyDescent="0.35">
      <c r="A256" s="39" t="s">
        <v>767</v>
      </c>
      <c r="B256" s="39" t="s">
        <v>768</v>
      </c>
      <c r="C256" s="39" t="s">
        <v>769</v>
      </c>
      <c r="D256" s="39" t="s">
        <v>770</v>
      </c>
      <c r="E256" s="40" t="s">
        <v>436</v>
      </c>
      <c r="F256" s="39" t="s">
        <v>41</v>
      </c>
      <c r="G256" s="39" t="s">
        <v>771</v>
      </c>
      <c r="H256" s="41">
        <v>288</v>
      </c>
      <c r="I256" s="36">
        <f t="shared" si="59"/>
        <v>1152000</v>
      </c>
      <c r="J256" s="37">
        <f t="shared" si="57"/>
        <v>14.4</v>
      </c>
      <c r="K256" s="37">
        <f t="shared" si="58"/>
        <v>21.599999999999998</v>
      </c>
      <c r="M256" s="37">
        <f t="shared" si="60"/>
        <v>9</v>
      </c>
      <c r="O256" s="4">
        <f t="shared" si="61"/>
        <v>4320000</v>
      </c>
      <c r="Q256" s="4">
        <f t="shared" si="62"/>
        <v>360000</v>
      </c>
      <c r="S256" s="4">
        <f t="shared" si="63"/>
        <v>14400</v>
      </c>
      <c r="U256" s="4">
        <f t="shared" si="66"/>
        <v>51840</v>
      </c>
      <c r="W256" s="4">
        <f t="shared" si="64"/>
        <v>4320</v>
      </c>
      <c r="Y256" s="4">
        <f t="shared" si="65"/>
        <v>4500</v>
      </c>
    </row>
    <row r="257" spans="1:25" ht="14.5" hidden="1" customHeight="1" outlineLevel="1" x14ac:dyDescent="0.35">
      <c r="A257" s="39" t="s">
        <v>772</v>
      </c>
      <c r="B257" s="39" t="s">
        <v>109</v>
      </c>
      <c r="C257" s="39" t="s">
        <v>773</v>
      </c>
      <c r="D257" s="39" t="s">
        <v>774</v>
      </c>
      <c r="E257" s="40" t="s">
        <v>51</v>
      </c>
      <c r="F257" s="39" t="s">
        <v>41</v>
      </c>
      <c r="G257" s="39" t="s">
        <v>775</v>
      </c>
      <c r="H257" s="41">
        <v>284</v>
      </c>
      <c r="I257" s="36">
        <f t="shared" si="59"/>
        <v>1136000</v>
      </c>
      <c r="J257" s="37">
        <f t="shared" si="57"/>
        <v>14.200000000000001</v>
      </c>
      <c r="K257" s="37">
        <f t="shared" si="58"/>
        <v>21.3</v>
      </c>
      <c r="M257" s="37">
        <f t="shared" si="60"/>
        <v>8.875</v>
      </c>
      <c r="O257" s="4">
        <f t="shared" si="61"/>
        <v>4260000</v>
      </c>
      <c r="Q257" s="4">
        <f t="shared" si="62"/>
        <v>355000</v>
      </c>
      <c r="S257" s="4">
        <f t="shared" si="63"/>
        <v>14200</v>
      </c>
      <c r="U257" s="4">
        <f t="shared" si="66"/>
        <v>51120</v>
      </c>
      <c r="W257" s="4">
        <f t="shared" si="64"/>
        <v>4260</v>
      </c>
      <c r="Y257" s="4">
        <f t="shared" si="65"/>
        <v>4437.5</v>
      </c>
    </row>
    <row r="258" spans="1:25" ht="14.5" hidden="1" customHeight="1" outlineLevel="1" x14ac:dyDescent="0.35">
      <c r="A258" s="39" t="s">
        <v>776</v>
      </c>
      <c r="B258" s="39" t="s">
        <v>109</v>
      </c>
      <c r="C258" s="39" t="s">
        <v>777</v>
      </c>
      <c r="D258" s="39" t="s">
        <v>778</v>
      </c>
      <c r="E258" s="40" t="s">
        <v>51</v>
      </c>
      <c r="F258" s="39" t="s">
        <v>41</v>
      </c>
      <c r="G258" s="39" t="s">
        <v>779</v>
      </c>
      <c r="H258" s="41">
        <v>271</v>
      </c>
      <c r="I258" s="36">
        <f t="shared" si="59"/>
        <v>1084000</v>
      </c>
      <c r="J258" s="37">
        <f t="shared" si="57"/>
        <v>13.55</v>
      </c>
      <c r="K258" s="37">
        <f t="shared" si="58"/>
        <v>20.324999999999999</v>
      </c>
      <c r="M258" s="37">
        <f t="shared" si="60"/>
        <v>8.46875</v>
      </c>
      <c r="O258" s="4">
        <f t="shared" si="61"/>
        <v>4065000</v>
      </c>
      <c r="Q258" s="4">
        <f t="shared" si="62"/>
        <v>338750</v>
      </c>
      <c r="S258" s="4">
        <f t="shared" si="63"/>
        <v>13550</v>
      </c>
      <c r="U258" s="4">
        <f t="shared" si="66"/>
        <v>48780</v>
      </c>
      <c r="W258" s="4">
        <f t="shared" si="64"/>
        <v>4065</v>
      </c>
      <c r="Y258" s="4">
        <f t="shared" si="65"/>
        <v>4234.375</v>
      </c>
    </row>
    <row r="259" spans="1:25" ht="14.5" hidden="1" customHeight="1" outlineLevel="1" x14ac:dyDescent="0.35">
      <c r="A259" s="39" t="s">
        <v>780</v>
      </c>
      <c r="B259" s="39" t="s">
        <v>781</v>
      </c>
      <c r="C259" s="39" t="s">
        <v>782</v>
      </c>
      <c r="D259" s="39" t="s">
        <v>783</v>
      </c>
      <c r="E259" s="40" t="s">
        <v>784</v>
      </c>
      <c r="F259" s="39" t="s">
        <v>41</v>
      </c>
      <c r="G259" s="39" t="s">
        <v>785</v>
      </c>
      <c r="H259" s="41">
        <v>270</v>
      </c>
      <c r="I259" s="36">
        <f t="shared" si="59"/>
        <v>1080000</v>
      </c>
      <c r="J259" s="37">
        <f t="shared" si="57"/>
        <v>13.5</v>
      </c>
      <c r="K259" s="37">
        <f t="shared" si="58"/>
        <v>20.25</v>
      </c>
      <c r="M259" s="37">
        <f t="shared" si="60"/>
        <v>8.4375</v>
      </c>
      <c r="O259" s="4">
        <f t="shared" si="61"/>
        <v>4050000</v>
      </c>
      <c r="Q259" s="4">
        <f t="shared" si="62"/>
        <v>337500</v>
      </c>
      <c r="S259" s="4">
        <f t="shared" si="63"/>
        <v>13500</v>
      </c>
      <c r="U259" s="4">
        <f t="shared" si="66"/>
        <v>48600</v>
      </c>
      <c r="W259" s="4">
        <f t="shared" si="64"/>
        <v>4050</v>
      </c>
      <c r="Y259" s="4">
        <f t="shared" si="65"/>
        <v>4218.75</v>
      </c>
    </row>
    <row r="260" spans="1:25" ht="14.5" hidden="1" customHeight="1" outlineLevel="1" x14ac:dyDescent="0.35">
      <c r="A260" s="39" t="s">
        <v>786</v>
      </c>
      <c r="B260" s="39" t="s">
        <v>109</v>
      </c>
      <c r="C260" s="39" t="s">
        <v>787</v>
      </c>
      <c r="D260" s="39" t="s">
        <v>788</v>
      </c>
      <c r="E260" s="40" t="s">
        <v>100</v>
      </c>
      <c r="F260" s="39" t="s">
        <v>101</v>
      </c>
      <c r="G260" s="39" t="s">
        <v>789</v>
      </c>
      <c r="H260" s="41">
        <v>261</v>
      </c>
      <c r="I260" s="36">
        <f t="shared" si="59"/>
        <v>1044000</v>
      </c>
      <c r="J260" s="37">
        <f t="shared" si="57"/>
        <v>13.05</v>
      </c>
      <c r="K260" s="37">
        <f t="shared" si="58"/>
        <v>19.574999999999999</v>
      </c>
      <c r="M260" s="37">
        <f t="shared" si="60"/>
        <v>8.15625</v>
      </c>
      <c r="O260" s="4">
        <f t="shared" si="61"/>
        <v>3915000</v>
      </c>
      <c r="Q260" s="4">
        <f t="shared" si="62"/>
        <v>326250</v>
      </c>
      <c r="S260" s="4">
        <f t="shared" si="63"/>
        <v>13050</v>
      </c>
      <c r="U260" s="4">
        <f t="shared" si="66"/>
        <v>46980</v>
      </c>
      <c r="W260" s="4">
        <f t="shared" si="64"/>
        <v>3915</v>
      </c>
      <c r="Y260" s="4">
        <f t="shared" si="65"/>
        <v>4078.125</v>
      </c>
    </row>
    <row r="261" spans="1:25" ht="14.5" hidden="1" customHeight="1" outlineLevel="1" x14ac:dyDescent="0.35">
      <c r="A261" s="39" t="s">
        <v>790</v>
      </c>
      <c r="B261" s="39" t="s">
        <v>109</v>
      </c>
      <c r="C261" s="39" t="s">
        <v>791</v>
      </c>
      <c r="D261" s="39" t="s">
        <v>792</v>
      </c>
      <c r="E261" s="40" t="s">
        <v>95</v>
      </c>
      <c r="F261" s="39" t="s">
        <v>41</v>
      </c>
      <c r="G261" s="39" t="s">
        <v>793</v>
      </c>
      <c r="H261" s="41">
        <v>256</v>
      </c>
      <c r="I261" s="36">
        <f t="shared" si="59"/>
        <v>1024000</v>
      </c>
      <c r="J261" s="37">
        <f t="shared" si="57"/>
        <v>12.8</v>
      </c>
      <c r="K261" s="37">
        <f t="shared" si="58"/>
        <v>19.2</v>
      </c>
      <c r="M261" s="37">
        <f t="shared" si="60"/>
        <v>8</v>
      </c>
      <c r="O261" s="4">
        <f t="shared" si="61"/>
        <v>3840000</v>
      </c>
      <c r="Q261" s="4">
        <f t="shared" si="62"/>
        <v>320000</v>
      </c>
      <c r="S261" s="4">
        <f t="shared" si="63"/>
        <v>12800</v>
      </c>
      <c r="U261" s="4">
        <f t="shared" si="66"/>
        <v>46080</v>
      </c>
      <c r="W261" s="4">
        <f t="shared" si="64"/>
        <v>3840</v>
      </c>
      <c r="Y261" s="4">
        <f t="shared" si="65"/>
        <v>4000</v>
      </c>
    </row>
    <row r="262" spans="1:25" ht="14.5" hidden="1" customHeight="1" outlineLevel="1" x14ac:dyDescent="0.35">
      <c r="A262" s="39" t="s">
        <v>794</v>
      </c>
      <c r="B262" s="39" t="s">
        <v>109</v>
      </c>
      <c r="C262" s="39" t="s">
        <v>109</v>
      </c>
      <c r="D262" s="39" t="s">
        <v>795</v>
      </c>
      <c r="E262" s="40" t="s">
        <v>51</v>
      </c>
      <c r="F262" s="39" t="s">
        <v>41</v>
      </c>
      <c r="G262" s="39" t="s">
        <v>796</v>
      </c>
      <c r="H262" s="41">
        <v>251</v>
      </c>
      <c r="I262" s="36">
        <f t="shared" si="59"/>
        <v>1004000</v>
      </c>
      <c r="J262" s="37">
        <f t="shared" si="57"/>
        <v>12.55</v>
      </c>
      <c r="K262" s="37">
        <f t="shared" si="58"/>
        <v>18.824999999999999</v>
      </c>
      <c r="M262" s="37">
        <f t="shared" si="60"/>
        <v>7.84375</v>
      </c>
      <c r="O262" s="4">
        <f t="shared" si="61"/>
        <v>3765000</v>
      </c>
      <c r="Q262" s="4">
        <f t="shared" si="62"/>
        <v>313750</v>
      </c>
      <c r="S262" s="4">
        <f t="shared" si="63"/>
        <v>12550</v>
      </c>
      <c r="U262" s="4">
        <f t="shared" si="66"/>
        <v>45180</v>
      </c>
      <c r="W262" s="4">
        <f t="shared" si="64"/>
        <v>3765</v>
      </c>
      <c r="Y262" s="4">
        <f t="shared" si="65"/>
        <v>3921.875</v>
      </c>
    </row>
    <row r="263" spans="1:25" ht="14.5" hidden="1" customHeight="1" outlineLevel="1" x14ac:dyDescent="0.35">
      <c r="A263" s="39" t="s">
        <v>797</v>
      </c>
      <c r="B263" s="39" t="s">
        <v>794</v>
      </c>
      <c r="C263" s="39" t="s">
        <v>109</v>
      </c>
      <c r="D263" s="39" t="s">
        <v>795</v>
      </c>
      <c r="E263" s="40" t="s">
        <v>51</v>
      </c>
      <c r="F263" s="39" t="s">
        <v>41</v>
      </c>
      <c r="G263" s="39" t="s">
        <v>798</v>
      </c>
      <c r="H263" s="41">
        <v>251</v>
      </c>
      <c r="I263" s="36">
        <f t="shared" si="59"/>
        <v>1004000</v>
      </c>
      <c r="J263" s="37">
        <f t="shared" si="57"/>
        <v>12.55</v>
      </c>
      <c r="K263" s="37">
        <f t="shared" si="58"/>
        <v>18.824999999999999</v>
      </c>
      <c r="M263" s="37">
        <f t="shared" si="60"/>
        <v>7.84375</v>
      </c>
      <c r="O263" s="4">
        <f t="shared" si="61"/>
        <v>3765000</v>
      </c>
      <c r="Q263" s="4">
        <f t="shared" si="62"/>
        <v>313750</v>
      </c>
      <c r="S263" s="4">
        <f t="shared" si="63"/>
        <v>12550</v>
      </c>
      <c r="U263" s="4">
        <f t="shared" si="66"/>
        <v>45180</v>
      </c>
      <c r="W263" s="4">
        <f t="shared" si="64"/>
        <v>3765</v>
      </c>
      <c r="Y263" s="4">
        <f t="shared" si="65"/>
        <v>3921.875</v>
      </c>
    </row>
    <row r="264" spans="1:25" ht="14.5" hidden="1" customHeight="1" outlineLevel="1" x14ac:dyDescent="0.35">
      <c r="A264" s="39" t="s">
        <v>799</v>
      </c>
      <c r="B264" s="39" t="s">
        <v>109</v>
      </c>
      <c r="C264" s="39" t="s">
        <v>800</v>
      </c>
      <c r="D264" s="39" t="s">
        <v>801</v>
      </c>
      <c r="E264" s="40" t="s">
        <v>51</v>
      </c>
      <c r="F264" s="39" t="s">
        <v>41</v>
      </c>
      <c r="G264" s="39" t="s">
        <v>802</v>
      </c>
      <c r="H264" s="41">
        <v>233</v>
      </c>
      <c r="I264" s="36">
        <f t="shared" si="59"/>
        <v>932000</v>
      </c>
      <c r="J264" s="37">
        <f t="shared" si="57"/>
        <v>11.65</v>
      </c>
      <c r="K264" s="37">
        <f t="shared" si="58"/>
        <v>17.474999999999998</v>
      </c>
      <c r="M264" s="37">
        <f t="shared" si="60"/>
        <v>7.28125</v>
      </c>
      <c r="O264" s="4">
        <f t="shared" si="61"/>
        <v>3495000</v>
      </c>
      <c r="Q264" s="4">
        <f t="shared" si="62"/>
        <v>291250</v>
      </c>
      <c r="S264" s="4">
        <f t="shared" si="63"/>
        <v>11650</v>
      </c>
      <c r="U264" s="4">
        <f t="shared" si="66"/>
        <v>41940</v>
      </c>
      <c r="W264" s="4">
        <f t="shared" si="64"/>
        <v>3495</v>
      </c>
      <c r="Y264" s="4">
        <f t="shared" si="65"/>
        <v>3640.625</v>
      </c>
    </row>
    <row r="265" spans="1:25" ht="14.5" hidden="1" customHeight="1" outlineLevel="1" x14ac:dyDescent="0.35">
      <c r="A265" s="39" t="s">
        <v>803</v>
      </c>
      <c r="B265" s="39" t="s">
        <v>109</v>
      </c>
      <c r="C265" s="39" t="s">
        <v>109</v>
      </c>
      <c r="D265" s="39" t="s">
        <v>804</v>
      </c>
      <c r="E265" s="40" t="s">
        <v>70</v>
      </c>
      <c r="F265" s="39" t="s">
        <v>41</v>
      </c>
      <c r="G265" s="39" t="s">
        <v>805</v>
      </c>
      <c r="H265" s="41">
        <v>231</v>
      </c>
      <c r="I265" s="36">
        <f t="shared" si="59"/>
        <v>924000</v>
      </c>
      <c r="J265" s="37">
        <f t="shared" si="57"/>
        <v>11.55</v>
      </c>
      <c r="K265" s="37">
        <f t="shared" si="58"/>
        <v>17.324999999999999</v>
      </c>
      <c r="M265" s="37">
        <f t="shared" si="60"/>
        <v>7.21875</v>
      </c>
      <c r="O265" s="4">
        <f t="shared" si="61"/>
        <v>3465000</v>
      </c>
      <c r="Q265" s="4">
        <f t="shared" si="62"/>
        <v>288750</v>
      </c>
      <c r="S265" s="4">
        <f t="shared" si="63"/>
        <v>11550</v>
      </c>
      <c r="U265" s="4">
        <f t="shared" si="66"/>
        <v>41580</v>
      </c>
      <c r="W265" s="4">
        <f t="shared" si="64"/>
        <v>3465</v>
      </c>
      <c r="Y265" s="4">
        <f t="shared" si="65"/>
        <v>3609.375</v>
      </c>
    </row>
    <row r="266" spans="1:25" ht="14.5" hidden="1" customHeight="1" outlineLevel="1" x14ac:dyDescent="0.35">
      <c r="A266" s="39" t="s">
        <v>806</v>
      </c>
      <c r="B266" s="39" t="s">
        <v>109</v>
      </c>
      <c r="C266" s="39" t="s">
        <v>807</v>
      </c>
      <c r="D266" s="39" t="s">
        <v>808</v>
      </c>
      <c r="E266" s="40" t="s">
        <v>251</v>
      </c>
      <c r="F266" s="39" t="s">
        <v>41</v>
      </c>
      <c r="G266" s="39" t="s">
        <v>809</v>
      </c>
      <c r="H266" s="41">
        <v>230</v>
      </c>
      <c r="I266" s="36">
        <f t="shared" si="59"/>
        <v>920000</v>
      </c>
      <c r="J266" s="37">
        <f t="shared" si="57"/>
        <v>11.5</v>
      </c>
      <c r="K266" s="37">
        <f t="shared" si="58"/>
        <v>17.25</v>
      </c>
      <c r="M266" s="37">
        <f t="shared" si="60"/>
        <v>7.1875</v>
      </c>
      <c r="O266" s="4">
        <f t="shared" si="61"/>
        <v>3450000</v>
      </c>
      <c r="Q266" s="4">
        <f t="shared" si="62"/>
        <v>287500</v>
      </c>
      <c r="S266" s="4">
        <f t="shared" si="63"/>
        <v>11500</v>
      </c>
      <c r="U266" s="4">
        <f t="shared" si="66"/>
        <v>41400</v>
      </c>
      <c r="W266" s="4">
        <f t="shared" si="64"/>
        <v>3450</v>
      </c>
      <c r="Y266" s="4">
        <f t="shared" si="65"/>
        <v>3593.75</v>
      </c>
    </row>
    <row r="267" spans="1:25" ht="14.5" hidden="1" customHeight="1" outlineLevel="1" x14ac:dyDescent="0.35">
      <c r="A267" s="39" t="s">
        <v>810</v>
      </c>
      <c r="B267" s="39" t="s">
        <v>109</v>
      </c>
      <c r="C267" s="39" t="s">
        <v>811</v>
      </c>
      <c r="D267" s="39" t="s">
        <v>792</v>
      </c>
      <c r="E267" s="40" t="s">
        <v>95</v>
      </c>
      <c r="F267" s="39" t="s">
        <v>41</v>
      </c>
      <c r="G267" s="39" t="s">
        <v>812</v>
      </c>
      <c r="H267" s="41">
        <v>225</v>
      </c>
      <c r="I267" s="36">
        <f t="shared" si="59"/>
        <v>900000</v>
      </c>
      <c r="J267" s="37">
        <f t="shared" si="57"/>
        <v>11.25</v>
      </c>
      <c r="K267" s="37">
        <f t="shared" si="58"/>
        <v>16.875</v>
      </c>
      <c r="M267" s="37">
        <f t="shared" si="60"/>
        <v>7.03125</v>
      </c>
      <c r="O267" s="4">
        <f t="shared" si="61"/>
        <v>3375000</v>
      </c>
      <c r="Q267" s="4">
        <f t="shared" si="62"/>
        <v>281250</v>
      </c>
      <c r="S267" s="4">
        <f t="shared" si="63"/>
        <v>11250</v>
      </c>
      <c r="U267" s="4">
        <f t="shared" si="66"/>
        <v>40500</v>
      </c>
      <c r="W267" s="4">
        <f t="shared" si="64"/>
        <v>3375</v>
      </c>
      <c r="Y267" s="4">
        <f t="shared" si="65"/>
        <v>3515.625</v>
      </c>
    </row>
    <row r="268" spans="1:25" ht="14.5" hidden="1" customHeight="1" outlineLevel="1" x14ac:dyDescent="0.35">
      <c r="A268" s="39" t="s">
        <v>813</v>
      </c>
      <c r="B268" s="39" t="s">
        <v>768</v>
      </c>
      <c r="C268" s="39" t="s">
        <v>814</v>
      </c>
      <c r="D268" s="39" t="s">
        <v>815</v>
      </c>
      <c r="E268" s="40" t="s">
        <v>533</v>
      </c>
      <c r="F268" s="39" t="s">
        <v>41</v>
      </c>
      <c r="G268" s="39" t="s">
        <v>110</v>
      </c>
      <c r="H268" s="41">
        <v>211</v>
      </c>
      <c r="I268" s="36">
        <f t="shared" si="59"/>
        <v>844000</v>
      </c>
      <c r="J268" s="37">
        <f t="shared" si="57"/>
        <v>10.55</v>
      </c>
      <c r="K268" s="37">
        <f t="shared" si="58"/>
        <v>15.824999999999999</v>
      </c>
      <c r="M268" s="37">
        <f t="shared" si="60"/>
        <v>6.59375</v>
      </c>
      <c r="O268" s="4">
        <f t="shared" si="61"/>
        <v>3165000</v>
      </c>
      <c r="Q268" s="4">
        <f t="shared" si="62"/>
        <v>263750</v>
      </c>
      <c r="S268" s="4">
        <f t="shared" si="63"/>
        <v>10550</v>
      </c>
      <c r="U268" s="4">
        <f t="shared" si="66"/>
        <v>37980</v>
      </c>
      <c r="W268" s="4">
        <f t="shared" si="64"/>
        <v>3165</v>
      </c>
      <c r="Y268" s="4">
        <f t="shared" si="65"/>
        <v>3296.875</v>
      </c>
    </row>
    <row r="269" spans="1:25" ht="14.5" hidden="1" customHeight="1" outlineLevel="1" x14ac:dyDescent="0.35">
      <c r="A269" s="39" t="s">
        <v>816</v>
      </c>
      <c r="B269" s="39" t="s">
        <v>109</v>
      </c>
      <c r="C269" s="39" t="s">
        <v>109</v>
      </c>
      <c r="D269" s="39" t="s">
        <v>817</v>
      </c>
      <c r="E269" s="40" t="s">
        <v>146</v>
      </c>
      <c r="F269" s="39" t="s">
        <v>41</v>
      </c>
      <c r="G269" s="39" t="s">
        <v>818</v>
      </c>
      <c r="H269" s="41">
        <v>207</v>
      </c>
      <c r="I269" s="36">
        <f t="shared" si="59"/>
        <v>828000</v>
      </c>
      <c r="J269" s="37">
        <f t="shared" si="57"/>
        <v>10.350000000000001</v>
      </c>
      <c r="K269" s="37">
        <f t="shared" si="58"/>
        <v>15.524999999999999</v>
      </c>
      <c r="M269" s="37">
        <f t="shared" si="60"/>
        <v>6.46875</v>
      </c>
      <c r="O269" s="4">
        <f t="shared" si="61"/>
        <v>3105000</v>
      </c>
      <c r="Q269" s="4">
        <f t="shared" si="62"/>
        <v>258750</v>
      </c>
      <c r="S269" s="4">
        <f t="shared" si="63"/>
        <v>10350</v>
      </c>
      <c r="U269" s="4">
        <f t="shared" si="66"/>
        <v>37260</v>
      </c>
      <c r="W269" s="4">
        <f t="shared" si="64"/>
        <v>3105</v>
      </c>
      <c r="Y269" s="4">
        <f t="shared" si="65"/>
        <v>3234.375</v>
      </c>
    </row>
    <row r="270" spans="1:25" ht="14.5" hidden="1" customHeight="1" outlineLevel="1" x14ac:dyDescent="0.35">
      <c r="A270" s="39" t="s">
        <v>819</v>
      </c>
      <c r="B270" s="39" t="s">
        <v>109</v>
      </c>
      <c r="C270" s="39" t="s">
        <v>820</v>
      </c>
      <c r="D270" s="39" t="s">
        <v>821</v>
      </c>
      <c r="E270" s="40" t="s">
        <v>200</v>
      </c>
      <c r="F270" s="39" t="s">
        <v>41</v>
      </c>
      <c r="G270" s="39" t="s">
        <v>822</v>
      </c>
      <c r="H270" s="41">
        <v>205</v>
      </c>
      <c r="I270" s="36">
        <f t="shared" si="59"/>
        <v>820000</v>
      </c>
      <c r="J270" s="37">
        <f t="shared" si="57"/>
        <v>10.25</v>
      </c>
      <c r="K270" s="37">
        <f t="shared" si="58"/>
        <v>15.375</v>
      </c>
      <c r="M270" s="37">
        <f t="shared" si="60"/>
        <v>6.40625</v>
      </c>
      <c r="O270" s="4">
        <f t="shared" si="61"/>
        <v>3075000</v>
      </c>
      <c r="Q270" s="4">
        <f t="shared" si="62"/>
        <v>256250</v>
      </c>
      <c r="S270" s="4">
        <f t="shared" si="63"/>
        <v>10250</v>
      </c>
      <c r="U270" s="4">
        <f t="shared" si="66"/>
        <v>36900</v>
      </c>
      <c r="W270" s="4">
        <f t="shared" si="64"/>
        <v>3075</v>
      </c>
      <c r="Y270" s="4">
        <f t="shared" si="65"/>
        <v>3203.125</v>
      </c>
    </row>
    <row r="271" spans="1:25" ht="14.5" hidden="1" customHeight="1" outlineLevel="1" x14ac:dyDescent="0.35">
      <c r="A271" s="39" t="s">
        <v>823</v>
      </c>
      <c r="B271" s="39" t="s">
        <v>109</v>
      </c>
      <c r="C271" s="39" t="s">
        <v>824</v>
      </c>
      <c r="D271" s="39" t="s">
        <v>109</v>
      </c>
      <c r="E271" s="40" t="s">
        <v>200</v>
      </c>
      <c r="F271" s="39" t="s">
        <v>41</v>
      </c>
      <c r="G271" s="39" t="s">
        <v>110</v>
      </c>
      <c r="H271" s="41">
        <v>204</v>
      </c>
      <c r="I271" s="36">
        <f t="shared" si="59"/>
        <v>816000</v>
      </c>
      <c r="J271" s="37">
        <f t="shared" si="57"/>
        <v>10.200000000000001</v>
      </c>
      <c r="K271" s="37">
        <f t="shared" si="58"/>
        <v>15.299999999999999</v>
      </c>
      <c r="M271" s="37">
        <f t="shared" si="60"/>
        <v>6.375</v>
      </c>
      <c r="O271" s="4">
        <f t="shared" si="61"/>
        <v>3060000</v>
      </c>
      <c r="Q271" s="4">
        <f t="shared" si="62"/>
        <v>255000</v>
      </c>
      <c r="S271" s="4">
        <f t="shared" si="63"/>
        <v>10200</v>
      </c>
      <c r="U271" s="4">
        <f t="shared" si="66"/>
        <v>36720</v>
      </c>
      <c r="W271" s="4">
        <f t="shared" si="64"/>
        <v>3060</v>
      </c>
      <c r="Y271" s="4">
        <f t="shared" si="65"/>
        <v>3187.5</v>
      </c>
    </row>
    <row r="272" spans="1:25" ht="14.5" hidden="1" customHeight="1" outlineLevel="1" x14ac:dyDescent="0.35">
      <c r="A272" s="39" t="s">
        <v>825</v>
      </c>
      <c r="B272" s="39" t="s">
        <v>109</v>
      </c>
      <c r="C272" s="39" t="s">
        <v>109</v>
      </c>
      <c r="D272" s="39" t="s">
        <v>826</v>
      </c>
      <c r="E272" s="40" t="s">
        <v>827</v>
      </c>
      <c r="F272" s="39" t="s">
        <v>101</v>
      </c>
      <c r="G272" s="39" t="s">
        <v>828</v>
      </c>
      <c r="H272" s="41">
        <v>203</v>
      </c>
      <c r="I272" s="36">
        <f t="shared" si="59"/>
        <v>812000</v>
      </c>
      <c r="J272" s="37">
        <f t="shared" si="57"/>
        <v>10.15</v>
      </c>
      <c r="K272" s="37">
        <f t="shared" si="58"/>
        <v>15.225</v>
      </c>
      <c r="M272" s="37">
        <f t="shared" si="60"/>
        <v>6.34375</v>
      </c>
      <c r="O272" s="4">
        <f t="shared" si="61"/>
        <v>3045000</v>
      </c>
      <c r="Q272" s="4">
        <f t="shared" si="62"/>
        <v>253750</v>
      </c>
      <c r="S272" s="4">
        <f t="shared" si="63"/>
        <v>10150</v>
      </c>
      <c r="U272" s="4">
        <f t="shared" si="66"/>
        <v>36540</v>
      </c>
      <c r="W272" s="4">
        <f t="shared" si="64"/>
        <v>3045</v>
      </c>
      <c r="Y272" s="4">
        <f t="shared" si="65"/>
        <v>3171.875</v>
      </c>
    </row>
    <row r="273" spans="1:25" ht="14.5" hidden="1" customHeight="1" outlineLevel="1" x14ac:dyDescent="0.35">
      <c r="A273" s="39" t="s">
        <v>829</v>
      </c>
      <c r="B273" s="39" t="s">
        <v>109</v>
      </c>
      <c r="C273" s="39" t="s">
        <v>830</v>
      </c>
      <c r="D273" s="39" t="s">
        <v>831</v>
      </c>
      <c r="E273" s="40" t="s">
        <v>100</v>
      </c>
      <c r="F273" s="39" t="s">
        <v>101</v>
      </c>
      <c r="G273" s="39" t="s">
        <v>832</v>
      </c>
      <c r="H273" s="41">
        <v>202</v>
      </c>
      <c r="I273" s="36">
        <f t="shared" si="59"/>
        <v>808000</v>
      </c>
      <c r="J273" s="37">
        <f t="shared" si="57"/>
        <v>10.100000000000001</v>
      </c>
      <c r="K273" s="37">
        <f t="shared" si="58"/>
        <v>15.149999999999999</v>
      </c>
      <c r="M273" s="37">
        <f t="shared" si="60"/>
        <v>6.3125</v>
      </c>
      <c r="O273" s="4">
        <f t="shared" si="61"/>
        <v>3030000</v>
      </c>
      <c r="Q273" s="4">
        <f t="shared" si="62"/>
        <v>252500</v>
      </c>
      <c r="S273" s="4">
        <f t="shared" si="63"/>
        <v>10100</v>
      </c>
      <c r="U273" s="4">
        <f t="shared" si="66"/>
        <v>36360</v>
      </c>
      <c r="W273" s="4">
        <f t="shared" si="64"/>
        <v>3030</v>
      </c>
      <c r="Y273" s="4">
        <f t="shared" si="65"/>
        <v>3156.25</v>
      </c>
    </row>
    <row r="274" spans="1:25" ht="14.5" hidden="1" customHeight="1" outlineLevel="1" x14ac:dyDescent="0.35">
      <c r="A274" s="39" t="s">
        <v>833</v>
      </c>
      <c r="B274" s="39" t="s">
        <v>834</v>
      </c>
      <c r="C274" s="39" t="s">
        <v>835</v>
      </c>
      <c r="D274" s="39" t="s">
        <v>463</v>
      </c>
      <c r="E274" s="40" t="s">
        <v>161</v>
      </c>
      <c r="F274" s="39" t="s">
        <v>101</v>
      </c>
      <c r="G274" s="39" t="s">
        <v>110</v>
      </c>
      <c r="H274" s="41">
        <v>201</v>
      </c>
      <c r="I274" s="36">
        <f t="shared" si="59"/>
        <v>804000</v>
      </c>
      <c r="J274" s="37">
        <f t="shared" si="57"/>
        <v>10.050000000000001</v>
      </c>
      <c r="K274" s="37">
        <f t="shared" si="58"/>
        <v>15.074999999999999</v>
      </c>
      <c r="M274" s="37">
        <f t="shared" si="60"/>
        <v>6.28125</v>
      </c>
      <c r="O274" s="4">
        <f t="shared" si="61"/>
        <v>3015000</v>
      </c>
      <c r="Q274" s="4">
        <f t="shared" si="62"/>
        <v>251250</v>
      </c>
      <c r="S274" s="4">
        <f t="shared" si="63"/>
        <v>10050</v>
      </c>
      <c r="U274" s="4">
        <f t="shared" si="66"/>
        <v>36180</v>
      </c>
      <c r="W274" s="4">
        <f t="shared" si="64"/>
        <v>3015</v>
      </c>
      <c r="Y274" s="4">
        <f t="shared" si="65"/>
        <v>3140.625</v>
      </c>
    </row>
    <row r="275" spans="1:25" ht="14.5" hidden="1" customHeight="1" outlineLevel="1" x14ac:dyDescent="0.35">
      <c r="A275" s="39" t="s">
        <v>834</v>
      </c>
      <c r="B275" s="39" t="s">
        <v>109</v>
      </c>
      <c r="C275" s="39" t="s">
        <v>109</v>
      </c>
      <c r="D275" s="39" t="s">
        <v>99</v>
      </c>
      <c r="E275" s="40" t="s">
        <v>100</v>
      </c>
      <c r="F275" s="39" t="s">
        <v>101</v>
      </c>
      <c r="G275" s="39" t="s">
        <v>110</v>
      </c>
      <c r="H275" s="41">
        <v>199</v>
      </c>
      <c r="I275" s="36">
        <f t="shared" si="59"/>
        <v>796000</v>
      </c>
      <c r="J275" s="37">
        <f t="shared" si="57"/>
        <v>9.9500000000000011</v>
      </c>
      <c r="K275" s="37">
        <f t="shared" si="58"/>
        <v>14.924999999999999</v>
      </c>
      <c r="M275" s="37">
        <f t="shared" si="60"/>
        <v>6.21875</v>
      </c>
      <c r="O275" s="4">
        <f t="shared" si="61"/>
        <v>2985000</v>
      </c>
      <c r="Q275" s="4">
        <f t="shared" si="62"/>
        <v>248750</v>
      </c>
      <c r="S275" s="4">
        <f t="shared" si="63"/>
        <v>9950</v>
      </c>
      <c r="U275" s="4">
        <f t="shared" si="66"/>
        <v>35820</v>
      </c>
      <c r="W275" s="4">
        <f t="shared" si="64"/>
        <v>2985</v>
      </c>
      <c r="Y275" s="4">
        <f t="shared" si="65"/>
        <v>3109.375</v>
      </c>
    </row>
    <row r="276" spans="1:25" ht="14.5" hidden="1" customHeight="1" outlineLevel="1" x14ac:dyDescent="0.35">
      <c r="A276" s="39" t="s">
        <v>836</v>
      </c>
      <c r="B276" s="39" t="s">
        <v>109</v>
      </c>
      <c r="C276" s="39" t="s">
        <v>109</v>
      </c>
      <c r="D276" s="39" t="s">
        <v>837</v>
      </c>
      <c r="E276" s="40" t="s">
        <v>46</v>
      </c>
      <c r="F276" s="39" t="s">
        <v>41</v>
      </c>
      <c r="G276" s="39" t="s">
        <v>838</v>
      </c>
      <c r="H276" s="41">
        <v>188</v>
      </c>
      <c r="I276" s="36">
        <f t="shared" si="59"/>
        <v>752000</v>
      </c>
      <c r="J276" s="37">
        <f t="shared" si="57"/>
        <v>9.4</v>
      </c>
      <c r="K276" s="37">
        <f t="shared" si="58"/>
        <v>14.1</v>
      </c>
      <c r="M276" s="37">
        <f t="shared" si="60"/>
        <v>5.875</v>
      </c>
      <c r="O276" s="4">
        <f t="shared" si="61"/>
        <v>2820000</v>
      </c>
      <c r="Q276" s="4">
        <f t="shared" si="62"/>
        <v>235000</v>
      </c>
      <c r="S276" s="4">
        <f t="shared" si="63"/>
        <v>9400</v>
      </c>
      <c r="U276" s="4">
        <f t="shared" si="66"/>
        <v>33840</v>
      </c>
      <c r="W276" s="4">
        <f t="shared" si="64"/>
        <v>2820</v>
      </c>
      <c r="Y276" s="4">
        <f t="shared" si="65"/>
        <v>2937.5</v>
      </c>
    </row>
    <row r="277" spans="1:25" ht="14.5" hidden="1" customHeight="1" outlineLevel="1" x14ac:dyDescent="0.35">
      <c r="A277" s="39" t="s">
        <v>839</v>
      </c>
      <c r="B277" s="39" t="s">
        <v>109</v>
      </c>
      <c r="C277" s="39" t="s">
        <v>109</v>
      </c>
      <c r="D277" s="39" t="s">
        <v>840</v>
      </c>
      <c r="E277" s="40" t="s">
        <v>841</v>
      </c>
      <c r="F277" s="39" t="s">
        <v>101</v>
      </c>
      <c r="G277" s="39" t="s">
        <v>842</v>
      </c>
      <c r="H277" s="41">
        <v>183</v>
      </c>
      <c r="I277" s="36">
        <f t="shared" si="59"/>
        <v>732000</v>
      </c>
      <c r="J277" s="37">
        <f t="shared" si="57"/>
        <v>9.15</v>
      </c>
      <c r="K277" s="37">
        <f t="shared" si="58"/>
        <v>13.725</v>
      </c>
      <c r="M277" s="37">
        <f t="shared" si="60"/>
        <v>5.71875</v>
      </c>
      <c r="O277" s="4">
        <f t="shared" si="61"/>
        <v>2745000</v>
      </c>
      <c r="Q277" s="4">
        <f t="shared" si="62"/>
        <v>228750</v>
      </c>
      <c r="S277" s="4">
        <f t="shared" si="63"/>
        <v>9150</v>
      </c>
      <c r="U277" s="4">
        <f t="shared" si="66"/>
        <v>32940</v>
      </c>
      <c r="W277" s="4">
        <f t="shared" si="64"/>
        <v>2745</v>
      </c>
      <c r="Y277" s="4">
        <f t="shared" si="65"/>
        <v>2859.375</v>
      </c>
    </row>
    <row r="278" spans="1:25" ht="14.5" hidden="1" customHeight="1" outlineLevel="1" x14ac:dyDescent="0.35">
      <c r="A278" s="39" t="s">
        <v>843</v>
      </c>
      <c r="B278" s="39" t="s">
        <v>109</v>
      </c>
      <c r="C278" s="39" t="s">
        <v>109</v>
      </c>
      <c r="D278" s="39" t="s">
        <v>844</v>
      </c>
      <c r="E278" s="40" t="s">
        <v>70</v>
      </c>
      <c r="F278" s="39" t="s">
        <v>41</v>
      </c>
      <c r="G278" s="39" t="s">
        <v>845</v>
      </c>
      <c r="H278" s="41">
        <v>179</v>
      </c>
      <c r="I278" s="36">
        <f t="shared" si="59"/>
        <v>716000</v>
      </c>
      <c r="J278" s="37">
        <f t="shared" si="57"/>
        <v>8.9500000000000011</v>
      </c>
      <c r="K278" s="37">
        <f t="shared" si="58"/>
        <v>13.424999999999999</v>
      </c>
      <c r="M278" s="37">
        <f t="shared" si="60"/>
        <v>5.59375</v>
      </c>
      <c r="O278" s="4">
        <f t="shared" si="61"/>
        <v>2685000</v>
      </c>
      <c r="Q278" s="4">
        <f t="shared" si="62"/>
        <v>223750</v>
      </c>
      <c r="S278" s="4">
        <f t="shared" si="63"/>
        <v>8950</v>
      </c>
      <c r="U278" s="4">
        <f t="shared" si="66"/>
        <v>32220</v>
      </c>
      <c r="W278" s="4">
        <f t="shared" si="64"/>
        <v>2685</v>
      </c>
      <c r="Y278" s="4">
        <f t="shared" si="65"/>
        <v>2796.875</v>
      </c>
    </row>
    <row r="279" spans="1:25" ht="14.5" hidden="1" customHeight="1" outlineLevel="1" x14ac:dyDescent="0.35">
      <c r="A279" s="39" t="s">
        <v>846</v>
      </c>
      <c r="B279" s="39" t="s">
        <v>109</v>
      </c>
      <c r="C279" s="39" t="s">
        <v>847</v>
      </c>
      <c r="D279" s="39" t="s">
        <v>848</v>
      </c>
      <c r="E279" s="40" t="s">
        <v>165</v>
      </c>
      <c r="F279" s="39" t="s">
        <v>41</v>
      </c>
      <c r="G279" s="39" t="s">
        <v>849</v>
      </c>
      <c r="H279" s="41">
        <v>178</v>
      </c>
      <c r="I279" s="36">
        <f t="shared" si="59"/>
        <v>712000</v>
      </c>
      <c r="J279" s="37">
        <f t="shared" si="57"/>
        <v>8.9</v>
      </c>
      <c r="K279" s="37">
        <f t="shared" si="58"/>
        <v>13.35</v>
      </c>
      <c r="M279" s="37">
        <f t="shared" si="60"/>
        <v>5.5625</v>
      </c>
      <c r="O279" s="4">
        <f t="shared" si="61"/>
        <v>2670000</v>
      </c>
      <c r="Q279" s="4">
        <f t="shared" si="62"/>
        <v>222500</v>
      </c>
      <c r="S279" s="4">
        <f t="shared" si="63"/>
        <v>8900</v>
      </c>
      <c r="U279" s="4">
        <f t="shared" si="66"/>
        <v>32040</v>
      </c>
      <c r="W279" s="4">
        <f t="shared" si="64"/>
        <v>2670</v>
      </c>
      <c r="Y279" s="4">
        <f t="shared" si="65"/>
        <v>2781.25</v>
      </c>
    </row>
    <row r="280" spans="1:25" ht="14.5" hidden="1" customHeight="1" outlineLevel="1" x14ac:dyDescent="0.35">
      <c r="A280" s="39" t="s">
        <v>850</v>
      </c>
      <c r="B280" s="39" t="s">
        <v>109</v>
      </c>
      <c r="C280" s="39" t="s">
        <v>851</v>
      </c>
      <c r="D280" s="39" t="s">
        <v>852</v>
      </c>
      <c r="E280" s="40" t="s">
        <v>721</v>
      </c>
      <c r="F280" s="39" t="s">
        <v>41</v>
      </c>
      <c r="G280" s="39" t="s">
        <v>853</v>
      </c>
      <c r="H280" s="41">
        <v>175</v>
      </c>
      <c r="I280" s="36">
        <f t="shared" si="59"/>
        <v>700000</v>
      </c>
      <c r="J280" s="37">
        <f t="shared" si="57"/>
        <v>8.75</v>
      </c>
      <c r="K280" s="37">
        <f t="shared" si="58"/>
        <v>13.125</v>
      </c>
      <c r="M280" s="37">
        <f t="shared" si="60"/>
        <v>5.46875</v>
      </c>
      <c r="O280" s="4">
        <f t="shared" si="61"/>
        <v>2625000</v>
      </c>
      <c r="Q280" s="4">
        <f t="shared" si="62"/>
        <v>218750</v>
      </c>
      <c r="S280" s="4">
        <f t="shared" si="63"/>
        <v>8750</v>
      </c>
      <c r="U280" s="4">
        <f t="shared" si="66"/>
        <v>31500</v>
      </c>
      <c r="W280" s="4">
        <f t="shared" si="64"/>
        <v>2625</v>
      </c>
      <c r="Y280" s="4">
        <f t="shared" si="65"/>
        <v>2734.375</v>
      </c>
    </row>
    <row r="281" spans="1:25" ht="14.5" hidden="1" customHeight="1" outlineLevel="1" x14ac:dyDescent="0.35">
      <c r="A281" s="39" t="s">
        <v>854</v>
      </c>
      <c r="B281" s="39" t="s">
        <v>109</v>
      </c>
      <c r="C281" s="39" t="s">
        <v>855</v>
      </c>
      <c r="D281" s="39" t="s">
        <v>856</v>
      </c>
      <c r="E281" s="40" t="s">
        <v>165</v>
      </c>
      <c r="F281" s="39" t="s">
        <v>41</v>
      </c>
      <c r="G281" s="39" t="s">
        <v>857</v>
      </c>
      <c r="H281" s="41">
        <v>175</v>
      </c>
      <c r="I281" s="36">
        <f t="shared" si="59"/>
        <v>700000</v>
      </c>
      <c r="J281" s="37">
        <f t="shared" si="57"/>
        <v>8.75</v>
      </c>
      <c r="K281" s="37">
        <f t="shared" si="58"/>
        <v>13.125</v>
      </c>
      <c r="M281" s="37">
        <f t="shared" si="60"/>
        <v>5.46875</v>
      </c>
      <c r="O281" s="4">
        <f t="shared" si="61"/>
        <v>2625000</v>
      </c>
      <c r="Q281" s="4">
        <f t="shared" si="62"/>
        <v>218750</v>
      </c>
      <c r="S281" s="4">
        <f t="shared" si="63"/>
        <v>8750</v>
      </c>
      <c r="U281" s="4">
        <f t="shared" si="66"/>
        <v>31500</v>
      </c>
      <c r="W281" s="4">
        <f t="shared" si="64"/>
        <v>2625</v>
      </c>
      <c r="Y281" s="4">
        <f t="shared" si="65"/>
        <v>2734.375</v>
      </c>
    </row>
    <row r="282" spans="1:25" ht="14.5" hidden="1" customHeight="1" outlineLevel="1" x14ac:dyDescent="0.35">
      <c r="A282" s="39" t="s">
        <v>858</v>
      </c>
      <c r="B282" s="39" t="s">
        <v>109</v>
      </c>
      <c r="C282" s="39" t="s">
        <v>859</v>
      </c>
      <c r="D282" s="39" t="s">
        <v>860</v>
      </c>
      <c r="E282" s="40" t="s">
        <v>222</v>
      </c>
      <c r="F282" s="39" t="s">
        <v>41</v>
      </c>
      <c r="G282" s="39" t="s">
        <v>861</v>
      </c>
      <c r="H282" s="41">
        <v>164</v>
      </c>
      <c r="I282" s="36">
        <f t="shared" si="59"/>
        <v>656000</v>
      </c>
      <c r="J282" s="37">
        <f t="shared" si="57"/>
        <v>8.2000000000000011</v>
      </c>
      <c r="K282" s="37">
        <f t="shared" si="58"/>
        <v>12.299999999999999</v>
      </c>
      <c r="M282" s="37">
        <f t="shared" si="60"/>
        <v>5.125</v>
      </c>
      <c r="O282" s="4">
        <f t="shared" si="61"/>
        <v>2460000</v>
      </c>
      <c r="Q282" s="4">
        <f t="shared" si="62"/>
        <v>205000</v>
      </c>
      <c r="S282" s="4">
        <f t="shared" si="63"/>
        <v>8200</v>
      </c>
      <c r="U282" s="4">
        <f t="shared" si="66"/>
        <v>29520</v>
      </c>
      <c r="W282" s="4">
        <f t="shared" si="64"/>
        <v>2460</v>
      </c>
      <c r="Y282" s="4">
        <f t="shared" si="65"/>
        <v>2562.5</v>
      </c>
    </row>
    <row r="283" spans="1:25" ht="14.5" hidden="1" customHeight="1" outlineLevel="1" x14ac:dyDescent="0.35">
      <c r="A283" s="39" t="s">
        <v>862</v>
      </c>
      <c r="B283" s="39" t="s">
        <v>781</v>
      </c>
      <c r="C283" s="39" t="s">
        <v>109</v>
      </c>
      <c r="D283" s="39" t="s">
        <v>863</v>
      </c>
      <c r="E283" s="40" t="s">
        <v>538</v>
      </c>
      <c r="F283" s="39" t="s">
        <v>41</v>
      </c>
      <c r="G283" s="39" t="s">
        <v>110</v>
      </c>
      <c r="H283" s="41">
        <v>159</v>
      </c>
      <c r="I283" s="36">
        <f t="shared" si="59"/>
        <v>636000</v>
      </c>
      <c r="J283" s="37">
        <f t="shared" si="57"/>
        <v>7.95</v>
      </c>
      <c r="K283" s="37">
        <f t="shared" si="58"/>
        <v>11.924999999999999</v>
      </c>
      <c r="M283" s="37">
        <f t="shared" si="60"/>
        <v>4.96875</v>
      </c>
      <c r="O283" s="4">
        <f t="shared" si="61"/>
        <v>2385000</v>
      </c>
      <c r="Q283" s="4">
        <f t="shared" si="62"/>
        <v>198750</v>
      </c>
      <c r="S283" s="4">
        <f t="shared" si="63"/>
        <v>7950</v>
      </c>
      <c r="U283" s="4">
        <f t="shared" si="66"/>
        <v>28620</v>
      </c>
      <c r="W283" s="4">
        <f t="shared" si="64"/>
        <v>2385</v>
      </c>
      <c r="Y283" s="4">
        <f t="shared" si="65"/>
        <v>2484.375</v>
      </c>
    </row>
    <row r="284" spans="1:25" ht="14.5" hidden="1" customHeight="1" outlineLevel="1" x14ac:dyDescent="0.35">
      <c r="A284" s="39" t="s">
        <v>864</v>
      </c>
      <c r="B284" s="39" t="s">
        <v>109</v>
      </c>
      <c r="C284" s="39" t="s">
        <v>109</v>
      </c>
      <c r="D284" s="39" t="s">
        <v>109</v>
      </c>
      <c r="E284" s="40" t="s">
        <v>51</v>
      </c>
      <c r="F284" s="39" t="s">
        <v>41</v>
      </c>
      <c r="G284" s="39" t="s">
        <v>865</v>
      </c>
      <c r="H284" s="41">
        <v>155</v>
      </c>
      <c r="I284" s="36">
        <f t="shared" si="59"/>
        <v>620000</v>
      </c>
      <c r="J284" s="37">
        <f t="shared" si="57"/>
        <v>7.75</v>
      </c>
      <c r="K284" s="37">
        <f t="shared" si="58"/>
        <v>11.625</v>
      </c>
      <c r="M284" s="37">
        <f t="shared" si="60"/>
        <v>4.84375</v>
      </c>
      <c r="O284" s="4">
        <f t="shared" si="61"/>
        <v>2325000</v>
      </c>
      <c r="Q284" s="4">
        <f t="shared" si="62"/>
        <v>193750</v>
      </c>
      <c r="S284" s="4">
        <f t="shared" si="63"/>
        <v>7750</v>
      </c>
      <c r="U284" s="4">
        <f t="shared" si="66"/>
        <v>27900</v>
      </c>
      <c r="W284" s="4">
        <f t="shared" si="64"/>
        <v>2325</v>
      </c>
      <c r="Y284" s="4">
        <f t="shared" si="65"/>
        <v>2421.875</v>
      </c>
    </row>
    <row r="285" spans="1:25" ht="14.5" hidden="1" customHeight="1" outlineLevel="1" x14ac:dyDescent="0.35">
      <c r="A285" s="39" t="s">
        <v>866</v>
      </c>
      <c r="B285" s="39" t="s">
        <v>109</v>
      </c>
      <c r="C285" s="39" t="s">
        <v>867</v>
      </c>
      <c r="D285" s="39" t="s">
        <v>868</v>
      </c>
      <c r="E285" s="40" t="s">
        <v>114</v>
      </c>
      <c r="F285" s="39" t="s">
        <v>41</v>
      </c>
      <c r="G285" s="39" t="s">
        <v>869</v>
      </c>
      <c r="H285" s="41">
        <v>155</v>
      </c>
      <c r="I285" s="36">
        <f t="shared" si="59"/>
        <v>620000</v>
      </c>
      <c r="J285" s="37">
        <f t="shared" si="57"/>
        <v>7.75</v>
      </c>
      <c r="K285" s="37">
        <f t="shared" si="58"/>
        <v>11.625</v>
      </c>
      <c r="M285" s="37">
        <f t="shared" si="60"/>
        <v>4.84375</v>
      </c>
      <c r="O285" s="4">
        <f t="shared" si="61"/>
        <v>2325000</v>
      </c>
      <c r="Q285" s="4">
        <f t="shared" si="62"/>
        <v>193750</v>
      </c>
      <c r="S285" s="4">
        <f t="shared" si="63"/>
        <v>7750</v>
      </c>
      <c r="U285" s="4">
        <f t="shared" si="66"/>
        <v>27900</v>
      </c>
      <c r="W285" s="4">
        <f t="shared" si="64"/>
        <v>2325</v>
      </c>
      <c r="Y285" s="4">
        <f t="shared" si="65"/>
        <v>2421.875</v>
      </c>
    </row>
    <row r="286" spans="1:25" ht="14.5" hidden="1" customHeight="1" outlineLevel="1" x14ac:dyDescent="0.35">
      <c r="A286" s="39" t="s">
        <v>870</v>
      </c>
      <c r="B286" s="39" t="s">
        <v>109</v>
      </c>
      <c r="C286" s="39" t="s">
        <v>109</v>
      </c>
      <c r="D286" s="39" t="s">
        <v>871</v>
      </c>
      <c r="E286" s="40" t="s">
        <v>165</v>
      </c>
      <c r="F286" s="39" t="s">
        <v>41</v>
      </c>
      <c r="G286" s="39" t="s">
        <v>872</v>
      </c>
      <c r="H286" s="41">
        <v>155</v>
      </c>
      <c r="I286" s="36">
        <f t="shared" si="59"/>
        <v>620000</v>
      </c>
      <c r="J286" s="37">
        <f t="shared" si="57"/>
        <v>7.75</v>
      </c>
      <c r="K286" s="37">
        <f t="shared" si="58"/>
        <v>11.625</v>
      </c>
      <c r="M286" s="37">
        <f t="shared" si="60"/>
        <v>4.84375</v>
      </c>
      <c r="O286" s="4">
        <f t="shared" si="61"/>
        <v>2325000</v>
      </c>
      <c r="Q286" s="4">
        <f t="shared" si="62"/>
        <v>193750</v>
      </c>
      <c r="S286" s="4">
        <f t="shared" si="63"/>
        <v>7750</v>
      </c>
      <c r="U286" s="4">
        <f t="shared" si="66"/>
        <v>27900</v>
      </c>
      <c r="W286" s="4">
        <f t="shared" si="64"/>
        <v>2325</v>
      </c>
      <c r="Y286" s="4">
        <f t="shared" si="65"/>
        <v>2421.875</v>
      </c>
    </row>
    <row r="287" spans="1:25" ht="14.5" hidden="1" customHeight="1" outlineLevel="1" x14ac:dyDescent="0.35">
      <c r="A287" s="39" t="s">
        <v>873</v>
      </c>
      <c r="B287" s="39" t="s">
        <v>109</v>
      </c>
      <c r="C287" s="39" t="s">
        <v>109</v>
      </c>
      <c r="D287" s="39" t="s">
        <v>874</v>
      </c>
      <c r="E287" s="40" t="s">
        <v>91</v>
      </c>
      <c r="F287" s="39" t="s">
        <v>41</v>
      </c>
      <c r="G287" s="39" t="s">
        <v>875</v>
      </c>
      <c r="H287" s="41">
        <v>151</v>
      </c>
      <c r="I287" s="36">
        <f t="shared" si="59"/>
        <v>604000</v>
      </c>
      <c r="J287" s="37">
        <f t="shared" si="57"/>
        <v>7.5500000000000007</v>
      </c>
      <c r="K287" s="37">
        <f t="shared" si="58"/>
        <v>11.324999999999999</v>
      </c>
      <c r="M287" s="37">
        <f t="shared" si="60"/>
        <v>4.71875</v>
      </c>
      <c r="O287" s="4">
        <f t="shared" si="61"/>
        <v>2265000</v>
      </c>
      <c r="Q287" s="4">
        <f t="shared" si="62"/>
        <v>188750</v>
      </c>
      <c r="S287" s="4">
        <f t="shared" si="63"/>
        <v>7550</v>
      </c>
      <c r="U287" s="4">
        <f t="shared" si="66"/>
        <v>27180</v>
      </c>
      <c r="W287" s="4">
        <f t="shared" si="64"/>
        <v>2265</v>
      </c>
      <c r="Y287" s="4">
        <f t="shared" si="65"/>
        <v>2359.375</v>
      </c>
    </row>
    <row r="288" spans="1:25" ht="14.5" hidden="1" customHeight="1" outlineLevel="1" x14ac:dyDescent="0.35">
      <c r="A288" s="39" t="s">
        <v>876</v>
      </c>
      <c r="B288" s="39" t="s">
        <v>109</v>
      </c>
      <c r="C288" s="39" t="s">
        <v>109</v>
      </c>
      <c r="D288" s="39" t="s">
        <v>877</v>
      </c>
      <c r="E288" s="40" t="s">
        <v>165</v>
      </c>
      <c r="F288" s="39" t="s">
        <v>41</v>
      </c>
      <c r="G288" s="39" t="s">
        <v>878</v>
      </c>
      <c r="H288" s="41">
        <v>144</v>
      </c>
      <c r="I288" s="36">
        <f t="shared" si="59"/>
        <v>576000</v>
      </c>
      <c r="J288" s="37">
        <f t="shared" si="57"/>
        <v>7.2</v>
      </c>
      <c r="K288" s="37">
        <f t="shared" si="58"/>
        <v>10.799999999999999</v>
      </c>
      <c r="M288" s="37">
        <f t="shared" si="60"/>
        <v>4.5</v>
      </c>
      <c r="O288" s="4">
        <f t="shared" si="61"/>
        <v>2160000</v>
      </c>
      <c r="Q288" s="4">
        <f t="shared" si="62"/>
        <v>180000</v>
      </c>
      <c r="S288" s="4">
        <f t="shared" si="63"/>
        <v>7200</v>
      </c>
      <c r="U288" s="4">
        <f t="shared" si="66"/>
        <v>25920</v>
      </c>
      <c r="W288" s="4">
        <f t="shared" si="64"/>
        <v>2160</v>
      </c>
      <c r="Y288" s="4">
        <f t="shared" si="65"/>
        <v>2250</v>
      </c>
    </row>
    <row r="289" spans="1:25" ht="14.5" hidden="1" customHeight="1" outlineLevel="1" x14ac:dyDescent="0.35">
      <c r="A289" s="39" t="s">
        <v>879</v>
      </c>
      <c r="B289" s="39" t="s">
        <v>109</v>
      </c>
      <c r="C289" s="39" t="s">
        <v>880</v>
      </c>
      <c r="D289" s="39" t="s">
        <v>881</v>
      </c>
      <c r="E289" s="40" t="s">
        <v>255</v>
      </c>
      <c r="F289" s="39" t="s">
        <v>41</v>
      </c>
      <c r="G289" s="39" t="s">
        <v>882</v>
      </c>
      <c r="H289" s="41">
        <v>141</v>
      </c>
      <c r="I289" s="36">
        <f t="shared" si="59"/>
        <v>564000</v>
      </c>
      <c r="J289" s="37">
        <f t="shared" si="57"/>
        <v>7.0500000000000007</v>
      </c>
      <c r="K289" s="37">
        <f t="shared" si="58"/>
        <v>10.574999999999999</v>
      </c>
      <c r="M289" s="37">
        <f t="shared" si="60"/>
        <v>4.40625</v>
      </c>
      <c r="O289" s="4">
        <f t="shared" si="61"/>
        <v>2115000</v>
      </c>
      <c r="Q289" s="4">
        <f t="shared" si="62"/>
        <v>176250</v>
      </c>
      <c r="S289" s="4">
        <f t="shared" si="63"/>
        <v>7050</v>
      </c>
      <c r="U289" s="4">
        <f t="shared" si="66"/>
        <v>25380</v>
      </c>
      <c r="W289" s="4">
        <f t="shared" si="64"/>
        <v>2115</v>
      </c>
      <c r="Y289" s="4">
        <f t="shared" si="65"/>
        <v>2203.125</v>
      </c>
    </row>
    <row r="290" spans="1:25" ht="14.5" hidden="1" customHeight="1" outlineLevel="1" x14ac:dyDescent="0.35">
      <c r="A290" s="39" t="s">
        <v>883</v>
      </c>
      <c r="B290" s="39" t="s">
        <v>109</v>
      </c>
      <c r="C290" s="39" t="s">
        <v>109</v>
      </c>
      <c r="D290" s="39" t="s">
        <v>724</v>
      </c>
      <c r="E290" s="40" t="s">
        <v>46</v>
      </c>
      <c r="F290" s="39" t="s">
        <v>41</v>
      </c>
      <c r="G290" s="39" t="s">
        <v>884</v>
      </c>
      <c r="H290" s="41">
        <v>139</v>
      </c>
      <c r="I290" s="36">
        <f t="shared" si="59"/>
        <v>556000</v>
      </c>
      <c r="J290" s="37">
        <f t="shared" si="57"/>
        <v>6.95</v>
      </c>
      <c r="K290" s="37">
        <f t="shared" si="58"/>
        <v>10.424999999999999</v>
      </c>
      <c r="M290" s="37">
        <f t="shared" si="60"/>
        <v>4.34375</v>
      </c>
      <c r="O290" s="4">
        <f t="shared" si="61"/>
        <v>2085000</v>
      </c>
      <c r="Q290" s="4">
        <f t="shared" si="62"/>
        <v>173750</v>
      </c>
      <c r="S290" s="4">
        <f t="shared" si="63"/>
        <v>6950</v>
      </c>
      <c r="U290" s="4">
        <f t="shared" si="66"/>
        <v>25020</v>
      </c>
      <c r="W290" s="4">
        <f t="shared" si="64"/>
        <v>2085</v>
      </c>
      <c r="Y290" s="4">
        <f t="shared" si="65"/>
        <v>2171.875</v>
      </c>
    </row>
    <row r="291" spans="1:25" ht="14.5" hidden="1" customHeight="1" outlineLevel="1" x14ac:dyDescent="0.35">
      <c r="A291" s="39" t="s">
        <v>885</v>
      </c>
      <c r="B291" s="39" t="s">
        <v>109</v>
      </c>
      <c r="C291" s="39" t="s">
        <v>886</v>
      </c>
      <c r="D291" s="39" t="s">
        <v>887</v>
      </c>
      <c r="E291" s="40" t="s">
        <v>211</v>
      </c>
      <c r="F291" s="39" t="s">
        <v>41</v>
      </c>
      <c r="G291" s="39" t="s">
        <v>888</v>
      </c>
      <c r="H291" s="41">
        <v>139</v>
      </c>
      <c r="I291" s="36">
        <f t="shared" si="59"/>
        <v>556000</v>
      </c>
      <c r="J291" s="37">
        <f t="shared" si="57"/>
        <v>6.95</v>
      </c>
      <c r="K291" s="37">
        <f t="shared" si="58"/>
        <v>10.424999999999999</v>
      </c>
      <c r="M291" s="37">
        <f t="shared" si="60"/>
        <v>4.34375</v>
      </c>
      <c r="O291" s="4">
        <f t="shared" si="61"/>
        <v>2085000</v>
      </c>
      <c r="Q291" s="4">
        <f t="shared" si="62"/>
        <v>173750</v>
      </c>
      <c r="S291" s="4">
        <f t="shared" si="63"/>
        <v>6950</v>
      </c>
      <c r="U291" s="4">
        <f t="shared" si="66"/>
        <v>25020</v>
      </c>
      <c r="W291" s="4">
        <f t="shared" si="64"/>
        <v>2085</v>
      </c>
      <c r="Y291" s="4">
        <f t="shared" si="65"/>
        <v>2171.875</v>
      </c>
    </row>
    <row r="292" spans="1:25" ht="14.5" hidden="1" customHeight="1" outlineLevel="1" x14ac:dyDescent="0.35">
      <c r="A292" s="39" t="s">
        <v>889</v>
      </c>
      <c r="B292" s="39" t="s">
        <v>109</v>
      </c>
      <c r="C292" s="39" t="s">
        <v>890</v>
      </c>
      <c r="D292" s="39" t="s">
        <v>891</v>
      </c>
      <c r="E292" s="40" t="s">
        <v>538</v>
      </c>
      <c r="F292" s="39" t="s">
        <v>41</v>
      </c>
      <c r="G292" s="39" t="s">
        <v>892</v>
      </c>
      <c r="H292" s="41">
        <v>133</v>
      </c>
      <c r="I292" s="36">
        <f t="shared" si="59"/>
        <v>532000</v>
      </c>
      <c r="J292" s="37">
        <f t="shared" si="57"/>
        <v>6.65</v>
      </c>
      <c r="K292" s="37">
        <f t="shared" si="58"/>
        <v>9.9749999999999996</v>
      </c>
      <c r="M292" s="37">
        <f t="shared" si="60"/>
        <v>4.15625</v>
      </c>
      <c r="O292" s="4">
        <f t="shared" si="61"/>
        <v>1995000</v>
      </c>
      <c r="Q292" s="4">
        <f t="shared" si="62"/>
        <v>166250</v>
      </c>
      <c r="S292" s="4">
        <f t="shared" si="63"/>
        <v>6650</v>
      </c>
      <c r="U292" s="4">
        <f t="shared" si="66"/>
        <v>23940</v>
      </c>
      <c r="W292" s="4">
        <f t="shared" si="64"/>
        <v>1995</v>
      </c>
      <c r="Y292" s="4">
        <f t="shared" si="65"/>
        <v>2078.125</v>
      </c>
    </row>
    <row r="293" spans="1:25" ht="14.5" hidden="1" customHeight="1" outlineLevel="1" x14ac:dyDescent="0.35">
      <c r="A293" s="39" t="s">
        <v>893</v>
      </c>
      <c r="B293" s="39" t="s">
        <v>109</v>
      </c>
      <c r="C293" s="39" t="s">
        <v>109</v>
      </c>
      <c r="D293" s="39" t="s">
        <v>894</v>
      </c>
      <c r="E293" s="40" t="s">
        <v>78</v>
      </c>
      <c r="F293" s="39" t="s">
        <v>41</v>
      </c>
      <c r="G293" s="39" t="s">
        <v>110</v>
      </c>
      <c r="H293" s="41">
        <v>131</v>
      </c>
      <c r="I293" s="36">
        <f t="shared" si="59"/>
        <v>524000</v>
      </c>
      <c r="J293" s="37">
        <f t="shared" si="57"/>
        <v>6.5500000000000007</v>
      </c>
      <c r="K293" s="37">
        <f t="shared" si="58"/>
        <v>9.8249999999999993</v>
      </c>
      <c r="M293" s="37">
        <f t="shared" si="60"/>
        <v>4.09375</v>
      </c>
      <c r="O293" s="4">
        <f t="shared" si="61"/>
        <v>1965000</v>
      </c>
      <c r="Q293" s="4">
        <f t="shared" si="62"/>
        <v>163750</v>
      </c>
      <c r="S293" s="4">
        <f t="shared" si="63"/>
        <v>6550</v>
      </c>
      <c r="U293" s="4">
        <f t="shared" si="66"/>
        <v>23580</v>
      </c>
      <c r="W293" s="4">
        <f t="shared" si="64"/>
        <v>1965</v>
      </c>
      <c r="Y293" s="4">
        <f t="shared" si="65"/>
        <v>2046.875</v>
      </c>
    </row>
    <row r="294" spans="1:25" ht="14.5" hidden="1" customHeight="1" outlineLevel="1" x14ac:dyDescent="0.35">
      <c r="A294" s="39" t="s">
        <v>895</v>
      </c>
      <c r="B294" s="39" t="s">
        <v>109</v>
      </c>
      <c r="C294" s="39" t="s">
        <v>109</v>
      </c>
      <c r="D294" s="39" t="s">
        <v>99</v>
      </c>
      <c r="E294" s="40" t="s">
        <v>100</v>
      </c>
      <c r="F294" s="39" t="s">
        <v>101</v>
      </c>
      <c r="G294" s="39" t="s">
        <v>896</v>
      </c>
      <c r="H294" s="41">
        <v>125</v>
      </c>
      <c r="I294" s="36">
        <f t="shared" si="59"/>
        <v>500000</v>
      </c>
      <c r="J294" s="37">
        <f t="shared" si="57"/>
        <v>6.25</v>
      </c>
      <c r="K294" s="37">
        <f t="shared" si="58"/>
        <v>9.375</v>
      </c>
      <c r="M294" s="37">
        <f t="shared" si="60"/>
        <v>3.90625</v>
      </c>
      <c r="O294" s="4">
        <f t="shared" si="61"/>
        <v>1875000</v>
      </c>
      <c r="Q294" s="4">
        <f t="shared" si="62"/>
        <v>156250</v>
      </c>
      <c r="S294" s="4">
        <f t="shared" si="63"/>
        <v>6250</v>
      </c>
      <c r="U294" s="4">
        <f t="shared" si="66"/>
        <v>22500</v>
      </c>
      <c r="W294" s="4">
        <f t="shared" si="64"/>
        <v>1875</v>
      </c>
      <c r="Y294" s="4">
        <f t="shared" si="65"/>
        <v>1953.125</v>
      </c>
    </row>
    <row r="295" spans="1:25" ht="14.5" hidden="1" customHeight="1" outlineLevel="1" x14ac:dyDescent="0.35">
      <c r="A295" s="39" t="s">
        <v>897</v>
      </c>
      <c r="B295" s="39" t="s">
        <v>109</v>
      </c>
      <c r="C295" s="39" t="s">
        <v>898</v>
      </c>
      <c r="D295" s="39" t="s">
        <v>821</v>
      </c>
      <c r="E295" s="40" t="s">
        <v>200</v>
      </c>
      <c r="F295" s="39" t="s">
        <v>41</v>
      </c>
      <c r="G295" s="39" t="s">
        <v>110</v>
      </c>
      <c r="H295" s="41">
        <v>125</v>
      </c>
      <c r="I295" s="36">
        <f t="shared" si="59"/>
        <v>500000</v>
      </c>
      <c r="J295" s="37">
        <f t="shared" si="57"/>
        <v>6.25</v>
      </c>
      <c r="K295" s="37">
        <f t="shared" si="58"/>
        <v>9.375</v>
      </c>
      <c r="M295" s="37">
        <f t="shared" si="60"/>
        <v>3.90625</v>
      </c>
      <c r="O295" s="4">
        <f t="shared" si="61"/>
        <v>1875000</v>
      </c>
      <c r="Q295" s="4">
        <f t="shared" si="62"/>
        <v>156250</v>
      </c>
      <c r="S295" s="4">
        <f t="shared" si="63"/>
        <v>6250</v>
      </c>
      <c r="U295" s="4">
        <f t="shared" si="66"/>
        <v>22500</v>
      </c>
      <c r="W295" s="4">
        <f t="shared" si="64"/>
        <v>1875</v>
      </c>
      <c r="Y295" s="4">
        <f t="shared" si="65"/>
        <v>1953.125</v>
      </c>
    </row>
    <row r="296" spans="1:25" ht="14.5" hidden="1" customHeight="1" outlineLevel="1" x14ac:dyDescent="0.35">
      <c r="A296" s="39" t="s">
        <v>899</v>
      </c>
      <c r="B296" s="39" t="s">
        <v>109</v>
      </c>
      <c r="C296" s="39" t="s">
        <v>109</v>
      </c>
      <c r="D296" s="39" t="s">
        <v>900</v>
      </c>
      <c r="E296" s="40" t="s">
        <v>56</v>
      </c>
      <c r="F296" s="39" t="s">
        <v>41</v>
      </c>
      <c r="G296" s="39" t="s">
        <v>901</v>
      </c>
      <c r="H296" s="41">
        <v>123</v>
      </c>
      <c r="I296" s="36">
        <f t="shared" si="59"/>
        <v>492000</v>
      </c>
      <c r="J296" s="37">
        <f t="shared" si="57"/>
        <v>6.15</v>
      </c>
      <c r="K296" s="37">
        <f t="shared" si="58"/>
        <v>9.2249999999999996</v>
      </c>
      <c r="M296" s="37">
        <f t="shared" si="60"/>
        <v>3.84375</v>
      </c>
      <c r="O296" s="4">
        <f t="shared" si="61"/>
        <v>1845000</v>
      </c>
      <c r="Q296" s="4">
        <f t="shared" si="62"/>
        <v>153750</v>
      </c>
      <c r="S296" s="4">
        <f t="shared" si="63"/>
        <v>6150</v>
      </c>
      <c r="U296" s="4">
        <f t="shared" si="66"/>
        <v>22140</v>
      </c>
      <c r="W296" s="4">
        <f t="shared" si="64"/>
        <v>1845</v>
      </c>
      <c r="Y296" s="4">
        <f t="shared" si="65"/>
        <v>1921.875</v>
      </c>
    </row>
    <row r="297" spans="1:25" ht="14.5" hidden="1" customHeight="1" outlineLevel="1" x14ac:dyDescent="0.35">
      <c r="A297" s="39" t="s">
        <v>902</v>
      </c>
      <c r="B297" s="39" t="s">
        <v>109</v>
      </c>
      <c r="C297" s="39" t="s">
        <v>903</v>
      </c>
      <c r="D297" s="39" t="s">
        <v>904</v>
      </c>
      <c r="E297" s="40" t="s">
        <v>436</v>
      </c>
      <c r="F297" s="39" t="s">
        <v>41</v>
      </c>
      <c r="G297" s="39" t="s">
        <v>110</v>
      </c>
      <c r="H297" s="41">
        <v>121</v>
      </c>
      <c r="I297" s="36">
        <f t="shared" si="59"/>
        <v>484000</v>
      </c>
      <c r="J297" s="37">
        <f t="shared" si="57"/>
        <v>6.0500000000000007</v>
      </c>
      <c r="K297" s="37">
        <f t="shared" si="58"/>
        <v>9.0749999999999993</v>
      </c>
      <c r="M297" s="37">
        <f t="shared" si="60"/>
        <v>3.78125</v>
      </c>
      <c r="O297" s="4">
        <f t="shared" si="61"/>
        <v>1815000</v>
      </c>
      <c r="Q297" s="4">
        <f t="shared" si="62"/>
        <v>151250</v>
      </c>
      <c r="S297" s="4">
        <f t="shared" si="63"/>
        <v>6050</v>
      </c>
      <c r="U297" s="4">
        <f t="shared" si="66"/>
        <v>21780</v>
      </c>
      <c r="W297" s="4">
        <f t="shared" si="64"/>
        <v>1815</v>
      </c>
      <c r="Y297" s="4">
        <f t="shared" si="65"/>
        <v>1890.625</v>
      </c>
    </row>
    <row r="298" spans="1:25" ht="14.5" hidden="1" customHeight="1" outlineLevel="1" x14ac:dyDescent="0.35">
      <c r="A298" s="39" t="s">
        <v>905</v>
      </c>
      <c r="B298" s="39" t="s">
        <v>109</v>
      </c>
      <c r="C298" s="39" t="s">
        <v>109</v>
      </c>
      <c r="D298" s="39" t="s">
        <v>906</v>
      </c>
      <c r="E298" s="40" t="s">
        <v>146</v>
      </c>
      <c r="F298" s="39" t="s">
        <v>41</v>
      </c>
      <c r="G298" s="39" t="s">
        <v>907</v>
      </c>
      <c r="H298" s="41">
        <v>119</v>
      </c>
      <c r="I298" s="36">
        <f t="shared" si="59"/>
        <v>476000</v>
      </c>
      <c r="J298" s="37">
        <f t="shared" si="57"/>
        <v>5.95</v>
      </c>
      <c r="K298" s="37">
        <f t="shared" si="58"/>
        <v>8.9249999999999989</v>
      </c>
      <c r="M298" s="37">
        <f t="shared" si="60"/>
        <v>3.71875</v>
      </c>
      <c r="O298" s="4">
        <f t="shared" si="61"/>
        <v>1785000</v>
      </c>
      <c r="Q298" s="4">
        <f t="shared" si="62"/>
        <v>148750</v>
      </c>
      <c r="S298" s="4">
        <f t="shared" si="63"/>
        <v>5950</v>
      </c>
      <c r="U298" s="4">
        <f t="shared" si="66"/>
        <v>21420</v>
      </c>
      <c r="W298" s="4">
        <f t="shared" si="64"/>
        <v>1785</v>
      </c>
      <c r="Y298" s="4">
        <f t="shared" si="65"/>
        <v>1859.375</v>
      </c>
    </row>
    <row r="299" spans="1:25" ht="14.5" hidden="1" customHeight="1" outlineLevel="1" x14ac:dyDescent="0.35">
      <c r="A299" s="39" t="s">
        <v>908</v>
      </c>
      <c r="B299" s="39" t="s">
        <v>909</v>
      </c>
      <c r="C299" s="39" t="s">
        <v>910</v>
      </c>
      <c r="D299" s="39" t="s">
        <v>911</v>
      </c>
      <c r="E299" s="40" t="s">
        <v>912</v>
      </c>
      <c r="F299" s="39" t="s">
        <v>101</v>
      </c>
      <c r="G299" s="39" t="s">
        <v>913</v>
      </c>
      <c r="H299" s="41">
        <v>119</v>
      </c>
      <c r="I299" s="36">
        <f t="shared" si="59"/>
        <v>476000</v>
      </c>
      <c r="J299" s="37">
        <f t="shared" si="57"/>
        <v>5.95</v>
      </c>
      <c r="K299" s="37">
        <f t="shared" si="58"/>
        <v>8.9249999999999989</v>
      </c>
      <c r="M299" s="37">
        <f t="shared" si="60"/>
        <v>3.71875</v>
      </c>
      <c r="O299" s="4">
        <f t="shared" si="61"/>
        <v>1785000</v>
      </c>
      <c r="Q299" s="4">
        <f t="shared" si="62"/>
        <v>148750</v>
      </c>
      <c r="S299" s="4">
        <f t="shared" si="63"/>
        <v>5950</v>
      </c>
      <c r="U299" s="4">
        <f t="shared" si="66"/>
        <v>21420</v>
      </c>
      <c r="W299" s="4">
        <f t="shared" si="64"/>
        <v>1785</v>
      </c>
      <c r="Y299" s="4">
        <f t="shared" si="65"/>
        <v>1859.375</v>
      </c>
    </row>
    <row r="300" spans="1:25" ht="14.5" hidden="1" customHeight="1" outlineLevel="1" x14ac:dyDescent="0.35">
      <c r="A300" s="39" t="s">
        <v>914</v>
      </c>
      <c r="B300" s="39" t="s">
        <v>109</v>
      </c>
      <c r="C300" s="39" t="s">
        <v>915</v>
      </c>
      <c r="D300" s="39" t="s">
        <v>916</v>
      </c>
      <c r="E300" s="40" t="s">
        <v>431</v>
      </c>
      <c r="F300" s="39" t="s">
        <v>101</v>
      </c>
      <c r="G300" s="39" t="s">
        <v>917</v>
      </c>
      <c r="H300" s="41">
        <v>118</v>
      </c>
      <c r="I300" s="36">
        <f t="shared" si="59"/>
        <v>472000</v>
      </c>
      <c r="J300" s="37">
        <f t="shared" ref="J300:J363" si="67">H300*$F$7</f>
        <v>5.9</v>
      </c>
      <c r="K300" s="37">
        <f t="shared" ref="K300:K363" si="68">H300*$G$7</f>
        <v>8.85</v>
      </c>
      <c r="M300" s="37">
        <f t="shared" si="60"/>
        <v>3.6875</v>
      </c>
      <c r="O300" s="4">
        <f t="shared" si="61"/>
        <v>1770000</v>
      </c>
      <c r="Q300" s="4">
        <f t="shared" si="62"/>
        <v>147500</v>
      </c>
      <c r="S300" s="4">
        <f t="shared" si="63"/>
        <v>5900</v>
      </c>
      <c r="U300" s="4">
        <f t="shared" si="66"/>
        <v>21240</v>
      </c>
      <c r="W300" s="4">
        <f t="shared" si="64"/>
        <v>1770</v>
      </c>
      <c r="Y300" s="4">
        <f t="shared" si="65"/>
        <v>1843.75</v>
      </c>
    </row>
    <row r="301" spans="1:25" ht="14.5" hidden="1" customHeight="1" outlineLevel="1" x14ac:dyDescent="0.35">
      <c r="A301" s="39" t="s">
        <v>918</v>
      </c>
      <c r="B301" s="39" t="s">
        <v>109</v>
      </c>
      <c r="C301" s="39" t="s">
        <v>919</v>
      </c>
      <c r="D301" s="39" t="s">
        <v>920</v>
      </c>
      <c r="E301" s="40" t="s">
        <v>246</v>
      </c>
      <c r="F301" s="39" t="s">
        <v>41</v>
      </c>
      <c r="G301" s="39" t="s">
        <v>921</v>
      </c>
      <c r="H301" s="41">
        <v>116</v>
      </c>
      <c r="I301" s="36">
        <f t="shared" ref="I301:I364" si="69">$E$7*H301</f>
        <v>464000</v>
      </c>
      <c r="J301" s="37">
        <f t="shared" si="67"/>
        <v>5.8000000000000007</v>
      </c>
      <c r="K301" s="37">
        <f t="shared" si="68"/>
        <v>8.6999999999999993</v>
      </c>
      <c r="M301" s="37">
        <f t="shared" ref="M301:M364" si="70">0.5*(AVERAGE(J301:K301))</f>
        <v>3.625</v>
      </c>
      <c r="O301" s="4">
        <f t="shared" ref="O301:O364" si="71">I301*$E$3</f>
        <v>1740000</v>
      </c>
      <c r="Q301" s="4">
        <f t="shared" ref="Q301:Q364" si="72">I301*$E$3/12</f>
        <v>145000</v>
      </c>
      <c r="S301" s="4">
        <f t="shared" ref="S301:S364" si="73">Q301*$E$4</f>
        <v>5800</v>
      </c>
      <c r="U301" s="4">
        <f t="shared" si="66"/>
        <v>20880</v>
      </c>
      <c r="W301" s="4">
        <f t="shared" ref="W301:W364" si="74">S301*$E$5</f>
        <v>1740</v>
      </c>
      <c r="Y301" s="4">
        <f t="shared" ref="Y301:Y364" si="75">M301*$E$6</f>
        <v>1812.5</v>
      </c>
    </row>
    <row r="302" spans="1:25" ht="14.5" hidden="1" customHeight="1" outlineLevel="1" x14ac:dyDescent="0.35">
      <c r="A302" s="39" t="s">
        <v>922</v>
      </c>
      <c r="B302" s="39" t="s">
        <v>109</v>
      </c>
      <c r="C302" s="39" t="s">
        <v>923</v>
      </c>
      <c r="D302" s="39" t="s">
        <v>924</v>
      </c>
      <c r="E302" s="40" t="s">
        <v>251</v>
      </c>
      <c r="F302" s="39" t="s">
        <v>41</v>
      </c>
      <c r="G302" s="39" t="s">
        <v>925</v>
      </c>
      <c r="H302" s="41">
        <v>113</v>
      </c>
      <c r="I302" s="36">
        <f t="shared" si="69"/>
        <v>452000</v>
      </c>
      <c r="J302" s="37">
        <f t="shared" si="67"/>
        <v>5.65</v>
      </c>
      <c r="K302" s="37">
        <f t="shared" si="68"/>
        <v>8.4749999999999996</v>
      </c>
      <c r="M302" s="37">
        <f t="shared" si="70"/>
        <v>3.53125</v>
      </c>
      <c r="O302" s="4">
        <f t="shared" si="71"/>
        <v>1695000</v>
      </c>
      <c r="Q302" s="4">
        <f t="shared" si="72"/>
        <v>141250</v>
      </c>
      <c r="S302" s="4">
        <f t="shared" si="73"/>
        <v>5650</v>
      </c>
      <c r="U302" s="4">
        <f t="shared" ref="U302:U365" si="76">W302*12</f>
        <v>20340</v>
      </c>
      <c r="W302" s="4">
        <f t="shared" si="74"/>
        <v>1695</v>
      </c>
      <c r="Y302" s="4">
        <f t="shared" si="75"/>
        <v>1765.625</v>
      </c>
    </row>
    <row r="303" spans="1:25" ht="14.5" hidden="1" customHeight="1" outlineLevel="1" x14ac:dyDescent="0.35">
      <c r="A303" s="39" t="s">
        <v>926</v>
      </c>
      <c r="B303" s="39" t="s">
        <v>109</v>
      </c>
      <c r="C303" s="39" t="s">
        <v>927</v>
      </c>
      <c r="D303" s="39" t="s">
        <v>928</v>
      </c>
      <c r="E303" s="40" t="s">
        <v>95</v>
      </c>
      <c r="F303" s="39" t="s">
        <v>41</v>
      </c>
      <c r="G303" s="39" t="s">
        <v>929</v>
      </c>
      <c r="H303" s="41">
        <v>112</v>
      </c>
      <c r="I303" s="36">
        <f t="shared" si="69"/>
        <v>448000</v>
      </c>
      <c r="J303" s="37">
        <f t="shared" si="67"/>
        <v>5.6000000000000005</v>
      </c>
      <c r="K303" s="37">
        <f t="shared" si="68"/>
        <v>8.4</v>
      </c>
      <c r="M303" s="37">
        <f t="shared" si="70"/>
        <v>3.5</v>
      </c>
      <c r="O303" s="4">
        <f t="shared" si="71"/>
        <v>1680000</v>
      </c>
      <c r="Q303" s="4">
        <f t="shared" si="72"/>
        <v>140000</v>
      </c>
      <c r="S303" s="4">
        <f t="shared" si="73"/>
        <v>5600</v>
      </c>
      <c r="U303" s="4">
        <f t="shared" si="76"/>
        <v>20160</v>
      </c>
      <c r="W303" s="4">
        <f t="shared" si="74"/>
        <v>1680</v>
      </c>
      <c r="Y303" s="4">
        <f t="shared" si="75"/>
        <v>1750</v>
      </c>
    </row>
    <row r="304" spans="1:25" ht="14.5" hidden="1" customHeight="1" outlineLevel="1" x14ac:dyDescent="0.35">
      <c r="A304" s="39" t="s">
        <v>930</v>
      </c>
      <c r="B304" s="39" t="s">
        <v>109</v>
      </c>
      <c r="C304" s="39" t="s">
        <v>931</v>
      </c>
      <c r="D304" s="39" t="s">
        <v>932</v>
      </c>
      <c r="E304" s="40" t="s">
        <v>841</v>
      </c>
      <c r="F304" s="39" t="s">
        <v>101</v>
      </c>
      <c r="G304" s="39" t="s">
        <v>110</v>
      </c>
      <c r="H304" s="41">
        <v>109</v>
      </c>
      <c r="I304" s="36">
        <f t="shared" si="69"/>
        <v>436000</v>
      </c>
      <c r="J304" s="37">
        <f t="shared" si="67"/>
        <v>5.45</v>
      </c>
      <c r="K304" s="37">
        <f t="shared" si="68"/>
        <v>8.1749999999999989</v>
      </c>
      <c r="M304" s="37">
        <f t="shared" si="70"/>
        <v>3.40625</v>
      </c>
      <c r="O304" s="4">
        <f t="shared" si="71"/>
        <v>1635000</v>
      </c>
      <c r="Q304" s="4">
        <f t="shared" si="72"/>
        <v>136250</v>
      </c>
      <c r="S304" s="4">
        <f t="shared" si="73"/>
        <v>5450</v>
      </c>
      <c r="U304" s="4">
        <f t="shared" si="76"/>
        <v>19620</v>
      </c>
      <c r="W304" s="4">
        <f t="shared" si="74"/>
        <v>1635</v>
      </c>
      <c r="Y304" s="4">
        <f t="shared" si="75"/>
        <v>1703.125</v>
      </c>
    </row>
    <row r="305" spans="1:25" ht="14.5" hidden="1" customHeight="1" outlineLevel="1" x14ac:dyDescent="0.35">
      <c r="A305" s="39" t="s">
        <v>933</v>
      </c>
      <c r="B305" s="39" t="s">
        <v>109</v>
      </c>
      <c r="C305" s="39" t="s">
        <v>934</v>
      </c>
      <c r="D305" s="39" t="s">
        <v>935</v>
      </c>
      <c r="E305" s="40" t="s">
        <v>200</v>
      </c>
      <c r="F305" s="39" t="s">
        <v>41</v>
      </c>
      <c r="G305" s="39" t="s">
        <v>936</v>
      </c>
      <c r="H305" s="41">
        <v>108</v>
      </c>
      <c r="I305" s="36">
        <f t="shared" si="69"/>
        <v>432000</v>
      </c>
      <c r="J305" s="37">
        <f t="shared" si="67"/>
        <v>5.4</v>
      </c>
      <c r="K305" s="37">
        <f t="shared" si="68"/>
        <v>8.1</v>
      </c>
      <c r="M305" s="37">
        <f t="shared" si="70"/>
        <v>3.375</v>
      </c>
      <c r="O305" s="4">
        <f t="shared" si="71"/>
        <v>1620000</v>
      </c>
      <c r="Q305" s="4">
        <f t="shared" si="72"/>
        <v>135000</v>
      </c>
      <c r="S305" s="4">
        <f t="shared" si="73"/>
        <v>5400</v>
      </c>
      <c r="U305" s="4">
        <f t="shared" si="76"/>
        <v>19440</v>
      </c>
      <c r="W305" s="4">
        <f t="shared" si="74"/>
        <v>1620</v>
      </c>
      <c r="Y305" s="4">
        <f t="shared" si="75"/>
        <v>1687.5</v>
      </c>
    </row>
    <row r="306" spans="1:25" ht="14.5" hidden="1" customHeight="1" outlineLevel="1" x14ac:dyDescent="0.35">
      <c r="A306" s="39" t="s">
        <v>937</v>
      </c>
      <c r="B306" s="39" t="s">
        <v>109</v>
      </c>
      <c r="C306" s="39" t="s">
        <v>109</v>
      </c>
      <c r="D306" s="39" t="s">
        <v>938</v>
      </c>
      <c r="E306" s="40" t="s">
        <v>146</v>
      </c>
      <c r="F306" s="39" t="s">
        <v>41</v>
      </c>
      <c r="G306" s="39" t="s">
        <v>939</v>
      </c>
      <c r="H306" s="41">
        <v>106</v>
      </c>
      <c r="I306" s="36">
        <f t="shared" si="69"/>
        <v>424000</v>
      </c>
      <c r="J306" s="37">
        <f t="shared" si="67"/>
        <v>5.3000000000000007</v>
      </c>
      <c r="K306" s="37">
        <f t="shared" si="68"/>
        <v>7.9499999999999993</v>
      </c>
      <c r="M306" s="37">
        <f t="shared" si="70"/>
        <v>3.3125</v>
      </c>
      <c r="O306" s="4">
        <f t="shared" si="71"/>
        <v>1590000</v>
      </c>
      <c r="Q306" s="4">
        <f t="shared" si="72"/>
        <v>132500</v>
      </c>
      <c r="S306" s="4">
        <f t="shared" si="73"/>
        <v>5300</v>
      </c>
      <c r="U306" s="4">
        <f t="shared" si="76"/>
        <v>19080</v>
      </c>
      <c r="W306" s="4">
        <f t="shared" si="74"/>
        <v>1590</v>
      </c>
      <c r="Y306" s="4">
        <f t="shared" si="75"/>
        <v>1656.25</v>
      </c>
    </row>
    <row r="307" spans="1:25" ht="14.5" hidden="1" customHeight="1" outlineLevel="1" x14ac:dyDescent="0.35">
      <c r="A307" s="39" t="s">
        <v>940</v>
      </c>
      <c r="B307" s="39" t="s">
        <v>109</v>
      </c>
      <c r="C307" s="39" t="s">
        <v>109</v>
      </c>
      <c r="D307" s="39" t="s">
        <v>941</v>
      </c>
      <c r="E307" s="40" t="s">
        <v>165</v>
      </c>
      <c r="F307" s="39" t="s">
        <v>41</v>
      </c>
      <c r="G307" s="39" t="s">
        <v>942</v>
      </c>
      <c r="H307" s="41">
        <v>106</v>
      </c>
      <c r="I307" s="36">
        <f t="shared" si="69"/>
        <v>424000</v>
      </c>
      <c r="J307" s="37">
        <f t="shared" si="67"/>
        <v>5.3000000000000007</v>
      </c>
      <c r="K307" s="37">
        <f t="shared" si="68"/>
        <v>7.9499999999999993</v>
      </c>
      <c r="M307" s="37">
        <f t="shared" si="70"/>
        <v>3.3125</v>
      </c>
      <c r="O307" s="4">
        <f t="shared" si="71"/>
        <v>1590000</v>
      </c>
      <c r="Q307" s="4">
        <f t="shared" si="72"/>
        <v>132500</v>
      </c>
      <c r="S307" s="4">
        <f t="shared" si="73"/>
        <v>5300</v>
      </c>
      <c r="U307" s="4">
        <f t="shared" si="76"/>
        <v>19080</v>
      </c>
      <c r="W307" s="4">
        <f t="shared" si="74"/>
        <v>1590</v>
      </c>
      <c r="Y307" s="4">
        <f t="shared" si="75"/>
        <v>1656.25</v>
      </c>
    </row>
    <row r="308" spans="1:25" ht="14.5" hidden="1" customHeight="1" outlineLevel="1" x14ac:dyDescent="0.35">
      <c r="A308" s="39" t="s">
        <v>943</v>
      </c>
      <c r="B308" s="39" t="s">
        <v>109</v>
      </c>
      <c r="C308" s="39" t="s">
        <v>109</v>
      </c>
      <c r="D308" s="39" t="s">
        <v>944</v>
      </c>
      <c r="E308" s="40" t="s">
        <v>138</v>
      </c>
      <c r="F308" s="39" t="s">
        <v>41</v>
      </c>
      <c r="G308" s="39" t="s">
        <v>110</v>
      </c>
      <c r="H308" s="41">
        <v>106</v>
      </c>
      <c r="I308" s="36">
        <f t="shared" si="69"/>
        <v>424000</v>
      </c>
      <c r="J308" s="37">
        <f t="shared" si="67"/>
        <v>5.3000000000000007</v>
      </c>
      <c r="K308" s="37">
        <f t="shared" si="68"/>
        <v>7.9499999999999993</v>
      </c>
      <c r="M308" s="37">
        <f t="shared" si="70"/>
        <v>3.3125</v>
      </c>
      <c r="O308" s="4">
        <f t="shared" si="71"/>
        <v>1590000</v>
      </c>
      <c r="Q308" s="4">
        <f t="shared" si="72"/>
        <v>132500</v>
      </c>
      <c r="S308" s="4">
        <f t="shared" si="73"/>
        <v>5300</v>
      </c>
      <c r="U308" s="4">
        <f t="shared" si="76"/>
        <v>19080</v>
      </c>
      <c r="W308" s="4">
        <f t="shared" si="74"/>
        <v>1590</v>
      </c>
      <c r="Y308" s="4">
        <f t="shared" si="75"/>
        <v>1656.25</v>
      </c>
    </row>
    <row r="309" spans="1:25" ht="14.5" hidden="1" customHeight="1" outlineLevel="1" x14ac:dyDescent="0.35">
      <c r="A309" s="39" t="s">
        <v>945</v>
      </c>
      <c r="B309" s="39" t="s">
        <v>109</v>
      </c>
      <c r="C309" s="39" t="s">
        <v>109</v>
      </c>
      <c r="D309" s="39" t="s">
        <v>946</v>
      </c>
      <c r="E309" s="40" t="s">
        <v>841</v>
      </c>
      <c r="F309" s="39" t="s">
        <v>101</v>
      </c>
      <c r="G309" s="39" t="s">
        <v>842</v>
      </c>
      <c r="H309" s="41">
        <v>104</v>
      </c>
      <c r="I309" s="36">
        <f t="shared" si="69"/>
        <v>416000</v>
      </c>
      <c r="J309" s="37">
        <f t="shared" si="67"/>
        <v>5.2</v>
      </c>
      <c r="K309" s="37">
        <f t="shared" si="68"/>
        <v>7.8</v>
      </c>
      <c r="M309" s="37">
        <f t="shared" si="70"/>
        <v>3.25</v>
      </c>
      <c r="O309" s="4">
        <f t="shared" si="71"/>
        <v>1560000</v>
      </c>
      <c r="Q309" s="4">
        <f t="shared" si="72"/>
        <v>130000</v>
      </c>
      <c r="S309" s="4">
        <f t="shared" si="73"/>
        <v>5200</v>
      </c>
      <c r="U309" s="4">
        <f t="shared" si="76"/>
        <v>18720</v>
      </c>
      <c r="W309" s="4">
        <f t="shared" si="74"/>
        <v>1560</v>
      </c>
      <c r="Y309" s="4">
        <f t="shared" si="75"/>
        <v>1625</v>
      </c>
    </row>
    <row r="310" spans="1:25" ht="14.5" hidden="1" customHeight="1" outlineLevel="1" x14ac:dyDescent="0.35">
      <c r="A310" s="39" t="s">
        <v>947</v>
      </c>
      <c r="B310" s="39" t="s">
        <v>109</v>
      </c>
      <c r="C310" s="39" t="s">
        <v>948</v>
      </c>
      <c r="D310" s="39" t="s">
        <v>949</v>
      </c>
      <c r="E310" s="40" t="s">
        <v>186</v>
      </c>
      <c r="F310" s="39" t="s">
        <v>41</v>
      </c>
      <c r="G310" s="39" t="s">
        <v>950</v>
      </c>
      <c r="H310" s="41">
        <v>104</v>
      </c>
      <c r="I310" s="36">
        <f t="shared" si="69"/>
        <v>416000</v>
      </c>
      <c r="J310" s="37">
        <f t="shared" si="67"/>
        <v>5.2</v>
      </c>
      <c r="K310" s="37">
        <f t="shared" si="68"/>
        <v>7.8</v>
      </c>
      <c r="M310" s="37">
        <f t="shared" si="70"/>
        <v>3.25</v>
      </c>
      <c r="O310" s="4">
        <f t="shared" si="71"/>
        <v>1560000</v>
      </c>
      <c r="Q310" s="4">
        <f t="shared" si="72"/>
        <v>130000</v>
      </c>
      <c r="S310" s="4">
        <f t="shared" si="73"/>
        <v>5200</v>
      </c>
      <c r="U310" s="4">
        <f t="shared" si="76"/>
        <v>18720</v>
      </c>
      <c r="W310" s="4">
        <f t="shared" si="74"/>
        <v>1560</v>
      </c>
      <c r="Y310" s="4">
        <f t="shared" si="75"/>
        <v>1625</v>
      </c>
    </row>
    <row r="311" spans="1:25" ht="14.5" hidden="1" customHeight="1" outlineLevel="1" x14ac:dyDescent="0.35">
      <c r="A311" s="39" t="s">
        <v>951</v>
      </c>
      <c r="B311" s="39" t="s">
        <v>109</v>
      </c>
      <c r="C311" s="39" t="s">
        <v>109</v>
      </c>
      <c r="D311" s="39" t="s">
        <v>952</v>
      </c>
      <c r="E311" s="40" t="s">
        <v>95</v>
      </c>
      <c r="F311" s="39" t="s">
        <v>41</v>
      </c>
      <c r="G311" s="39" t="s">
        <v>953</v>
      </c>
      <c r="H311" s="41">
        <v>103</v>
      </c>
      <c r="I311" s="36">
        <f t="shared" si="69"/>
        <v>412000</v>
      </c>
      <c r="J311" s="37">
        <f t="shared" si="67"/>
        <v>5.15</v>
      </c>
      <c r="K311" s="37">
        <f t="shared" si="68"/>
        <v>7.7249999999999996</v>
      </c>
      <c r="M311" s="37">
        <f t="shared" si="70"/>
        <v>3.21875</v>
      </c>
      <c r="O311" s="4">
        <f t="shared" si="71"/>
        <v>1545000</v>
      </c>
      <c r="Q311" s="4">
        <f t="shared" si="72"/>
        <v>128750</v>
      </c>
      <c r="S311" s="4">
        <f t="shared" si="73"/>
        <v>5150</v>
      </c>
      <c r="U311" s="4">
        <f t="shared" si="76"/>
        <v>18540</v>
      </c>
      <c r="W311" s="4">
        <f t="shared" si="74"/>
        <v>1545</v>
      </c>
      <c r="Y311" s="4">
        <f t="shared" si="75"/>
        <v>1609.375</v>
      </c>
    </row>
    <row r="312" spans="1:25" ht="14.5" hidden="1" customHeight="1" outlineLevel="1" x14ac:dyDescent="0.35">
      <c r="A312" s="39" t="s">
        <v>954</v>
      </c>
      <c r="B312" s="39" t="s">
        <v>109</v>
      </c>
      <c r="C312" s="39" t="s">
        <v>109</v>
      </c>
      <c r="D312" s="39" t="s">
        <v>955</v>
      </c>
      <c r="E312" s="40" t="s">
        <v>436</v>
      </c>
      <c r="F312" s="39" t="s">
        <v>41</v>
      </c>
      <c r="G312" s="39" t="s">
        <v>110</v>
      </c>
      <c r="H312" s="41">
        <v>101</v>
      </c>
      <c r="I312" s="36">
        <f t="shared" si="69"/>
        <v>404000</v>
      </c>
      <c r="J312" s="37">
        <f t="shared" si="67"/>
        <v>5.0500000000000007</v>
      </c>
      <c r="K312" s="37">
        <f t="shared" si="68"/>
        <v>7.5749999999999993</v>
      </c>
      <c r="M312" s="37">
        <f t="shared" si="70"/>
        <v>3.15625</v>
      </c>
      <c r="O312" s="4">
        <f t="shared" si="71"/>
        <v>1515000</v>
      </c>
      <c r="Q312" s="4">
        <f t="shared" si="72"/>
        <v>126250</v>
      </c>
      <c r="S312" s="4">
        <f t="shared" si="73"/>
        <v>5050</v>
      </c>
      <c r="U312" s="4">
        <f t="shared" si="76"/>
        <v>18180</v>
      </c>
      <c r="W312" s="4">
        <f t="shared" si="74"/>
        <v>1515</v>
      </c>
      <c r="Y312" s="4">
        <f t="shared" si="75"/>
        <v>1578.125</v>
      </c>
    </row>
    <row r="313" spans="1:25" ht="14.5" hidden="1" customHeight="1" outlineLevel="1" x14ac:dyDescent="0.35">
      <c r="A313" s="39" t="s">
        <v>956</v>
      </c>
      <c r="B313" s="39" t="s">
        <v>109</v>
      </c>
      <c r="C313" s="39" t="s">
        <v>109</v>
      </c>
      <c r="D313" s="39" t="s">
        <v>195</v>
      </c>
      <c r="E313" s="40" t="s">
        <v>196</v>
      </c>
      <c r="F313" s="39" t="s">
        <v>41</v>
      </c>
      <c r="G313" s="39" t="s">
        <v>957</v>
      </c>
      <c r="H313" s="41">
        <v>100</v>
      </c>
      <c r="I313" s="36">
        <f t="shared" si="69"/>
        <v>400000</v>
      </c>
      <c r="J313" s="37">
        <f t="shared" si="67"/>
        <v>5</v>
      </c>
      <c r="K313" s="37">
        <f t="shared" si="68"/>
        <v>7.5</v>
      </c>
      <c r="M313" s="37">
        <f t="shared" si="70"/>
        <v>3.125</v>
      </c>
      <c r="O313" s="4">
        <f t="shared" si="71"/>
        <v>1500000</v>
      </c>
      <c r="Q313" s="4">
        <f t="shared" si="72"/>
        <v>125000</v>
      </c>
      <c r="S313" s="4">
        <f t="shared" si="73"/>
        <v>5000</v>
      </c>
      <c r="U313" s="4">
        <f t="shared" si="76"/>
        <v>18000</v>
      </c>
      <c r="W313" s="4">
        <f t="shared" si="74"/>
        <v>1500</v>
      </c>
      <c r="Y313" s="4">
        <f t="shared" si="75"/>
        <v>1562.5</v>
      </c>
    </row>
    <row r="314" spans="1:25" ht="14.5" hidden="1" customHeight="1" outlineLevel="1" x14ac:dyDescent="0.35">
      <c r="A314" s="39" t="s">
        <v>958</v>
      </c>
      <c r="B314" s="39" t="s">
        <v>959</v>
      </c>
      <c r="C314" s="39" t="s">
        <v>960</v>
      </c>
      <c r="D314" s="39" t="s">
        <v>961</v>
      </c>
      <c r="E314" s="40" t="s">
        <v>255</v>
      </c>
      <c r="F314" s="39" t="s">
        <v>41</v>
      </c>
      <c r="G314" s="39" t="s">
        <v>343</v>
      </c>
      <c r="H314" s="41">
        <v>100</v>
      </c>
      <c r="I314" s="36">
        <f t="shared" si="69"/>
        <v>400000</v>
      </c>
      <c r="J314" s="37">
        <f t="shared" si="67"/>
        <v>5</v>
      </c>
      <c r="K314" s="37">
        <f t="shared" si="68"/>
        <v>7.5</v>
      </c>
      <c r="M314" s="37">
        <f t="shared" si="70"/>
        <v>3.125</v>
      </c>
      <c r="O314" s="4">
        <f t="shared" si="71"/>
        <v>1500000</v>
      </c>
      <c r="Q314" s="4">
        <f t="shared" si="72"/>
        <v>125000</v>
      </c>
      <c r="S314" s="4">
        <f t="shared" si="73"/>
        <v>5000</v>
      </c>
      <c r="U314" s="4">
        <f t="shared" si="76"/>
        <v>18000</v>
      </c>
      <c r="W314" s="4">
        <f t="shared" si="74"/>
        <v>1500</v>
      </c>
      <c r="Y314" s="4">
        <f t="shared" si="75"/>
        <v>1562.5</v>
      </c>
    </row>
    <row r="315" spans="1:25" ht="14.5" hidden="1" customHeight="1" outlineLevel="1" x14ac:dyDescent="0.35">
      <c r="A315" s="39" t="s">
        <v>962</v>
      </c>
      <c r="B315" s="39" t="s">
        <v>109</v>
      </c>
      <c r="C315" s="39" t="s">
        <v>109</v>
      </c>
      <c r="D315" s="39" t="s">
        <v>916</v>
      </c>
      <c r="E315" s="40" t="s">
        <v>431</v>
      </c>
      <c r="F315" s="39" t="s">
        <v>101</v>
      </c>
      <c r="G315" s="39" t="s">
        <v>963</v>
      </c>
      <c r="H315" s="41">
        <v>98</v>
      </c>
      <c r="I315" s="36">
        <f t="shared" si="69"/>
        <v>392000</v>
      </c>
      <c r="J315" s="37">
        <f t="shared" si="67"/>
        <v>4.9000000000000004</v>
      </c>
      <c r="K315" s="37">
        <f t="shared" si="68"/>
        <v>7.35</v>
      </c>
      <c r="M315" s="37">
        <f t="shared" si="70"/>
        <v>3.0625</v>
      </c>
      <c r="O315" s="4">
        <f t="shared" si="71"/>
        <v>1470000</v>
      </c>
      <c r="Q315" s="4">
        <f t="shared" si="72"/>
        <v>122500</v>
      </c>
      <c r="S315" s="4">
        <f t="shared" si="73"/>
        <v>4900</v>
      </c>
      <c r="U315" s="4">
        <f t="shared" si="76"/>
        <v>17640</v>
      </c>
      <c r="W315" s="4">
        <f t="shared" si="74"/>
        <v>1470</v>
      </c>
      <c r="Y315" s="4">
        <f t="shared" si="75"/>
        <v>1531.25</v>
      </c>
    </row>
    <row r="316" spans="1:25" ht="14.5" hidden="1" customHeight="1" outlineLevel="1" x14ac:dyDescent="0.35">
      <c r="A316" s="39" t="s">
        <v>964</v>
      </c>
      <c r="B316" s="39" t="s">
        <v>109</v>
      </c>
      <c r="C316" s="39" t="s">
        <v>965</v>
      </c>
      <c r="D316" s="39" t="s">
        <v>966</v>
      </c>
      <c r="E316" s="40" t="s">
        <v>95</v>
      </c>
      <c r="F316" s="39" t="s">
        <v>41</v>
      </c>
      <c r="G316" s="39" t="s">
        <v>967</v>
      </c>
      <c r="H316" s="41">
        <v>98</v>
      </c>
      <c r="I316" s="36">
        <f t="shared" si="69"/>
        <v>392000</v>
      </c>
      <c r="J316" s="37">
        <f t="shared" si="67"/>
        <v>4.9000000000000004</v>
      </c>
      <c r="K316" s="37">
        <f t="shared" si="68"/>
        <v>7.35</v>
      </c>
      <c r="M316" s="37">
        <f t="shared" si="70"/>
        <v>3.0625</v>
      </c>
      <c r="O316" s="4">
        <f t="shared" si="71"/>
        <v>1470000</v>
      </c>
      <c r="Q316" s="4">
        <f t="shared" si="72"/>
        <v>122500</v>
      </c>
      <c r="S316" s="4">
        <f t="shared" si="73"/>
        <v>4900</v>
      </c>
      <c r="U316" s="4">
        <f t="shared" si="76"/>
        <v>17640</v>
      </c>
      <c r="W316" s="4">
        <f t="shared" si="74"/>
        <v>1470</v>
      </c>
      <c r="Y316" s="4">
        <f t="shared" si="75"/>
        <v>1531.25</v>
      </c>
    </row>
    <row r="317" spans="1:25" ht="14.5" hidden="1" customHeight="1" outlineLevel="1" x14ac:dyDescent="0.35">
      <c r="A317" s="39" t="s">
        <v>968</v>
      </c>
      <c r="B317" s="39" t="s">
        <v>109</v>
      </c>
      <c r="C317" s="39" t="s">
        <v>109</v>
      </c>
      <c r="D317" s="39" t="s">
        <v>969</v>
      </c>
      <c r="E317" s="40" t="s">
        <v>91</v>
      </c>
      <c r="F317" s="39" t="s">
        <v>41</v>
      </c>
      <c r="G317" s="39" t="s">
        <v>970</v>
      </c>
      <c r="H317" s="41">
        <v>96</v>
      </c>
      <c r="I317" s="36">
        <f t="shared" si="69"/>
        <v>384000</v>
      </c>
      <c r="J317" s="37">
        <f t="shared" si="67"/>
        <v>4.8000000000000007</v>
      </c>
      <c r="K317" s="37">
        <f t="shared" si="68"/>
        <v>7.1999999999999993</v>
      </c>
      <c r="M317" s="37">
        <f t="shared" si="70"/>
        <v>3</v>
      </c>
      <c r="O317" s="4">
        <f t="shared" si="71"/>
        <v>1440000</v>
      </c>
      <c r="Q317" s="4">
        <f t="shared" si="72"/>
        <v>120000</v>
      </c>
      <c r="S317" s="4">
        <f t="shared" si="73"/>
        <v>4800</v>
      </c>
      <c r="U317" s="4">
        <f t="shared" si="76"/>
        <v>17280</v>
      </c>
      <c r="W317" s="4">
        <f t="shared" si="74"/>
        <v>1440</v>
      </c>
      <c r="Y317" s="4">
        <f t="shared" si="75"/>
        <v>1500</v>
      </c>
    </row>
    <row r="318" spans="1:25" ht="14.5" hidden="1" customHeight="1" outlineLevel="1" x14ac:dyDescent="0.35">
      <c r="A318" s="39" t="s">
        <v>971</v>
      </c>
      <c r="B318" s="39" t="s">
        <v>109</v>
      </c>
      <c r="C318" s="39" t="s">
        <v>972</v>
      </c>
      <c r="D318" s="39" t="s">
        <v>973</v>
      </c>
      <c r="E318" s="40" t="s">
        <v>255</v>
      </c>
      <c r="F318" s="39" t="s">
        <v>41</v>
      </c>
      <c r="G318" s="39" t="s">
        <v>110</v>
      </c>
      <c r="H318" s="41">
        <v>96</v>
      </c>
      <c r="I318" s="36">
        <f t="shared" si="69"/>
        <v>384000</v>
      </c>
      <c r="J318" s="37">
        <f t="shared" si="67"/>
        <v>4.8000000000000007</v>
      </c>
      <c r="K318" s="37">
        <f t="shared" si="68"/>
        <v>7.1999999999999993</v>
      </c>
      <c r="M318" s="37">
        <f t="shared" si="70"/>
        <v>3</v>
      </c>
      <c r="O318" s="4">
        <f t="shared" si="71"/>
        <v>1440000</v>
      </c>
      <c r="Q318" s="4">
        <f t="shared" si="72"/>
        <v>120000</v>
      </c>
      <c r="S318" s="4">
        <f t="shared" si="73"/>
        <v>4800</v>
      </c>
      <c r="U318" s="4">
        <f t="shared" si="76"/>
        <v>17280</v>
      </c>
      <c r="W318" s="4">
        <f t="shared" si="74"/>
        <v>1440</v>
      </c>
      <c r="Y318" s="4">
        <f t="shared" si="75"/>
        <v>1500</v>
      </c>
    </row>
    <row r="319" spans="1:25" ht="14.5" hidden="1" customHeight="1" outlineLevel="1" x14ac:dyDescent="0.35">
      <c r="A319" s="39" t="s">
        <v>974</v>
      </c>
      <c r="B319" s="39" t="s">
        <v>109</v>
      </c>
      <c r="C319" s="39" t="s">
        <v>975</v>
      </c>
      <c r="D319" s="39" t="s">
        <v>976</v>
      </c>
      <c r="E319" s="40" t="s">
        <v>393</v>
      </c>
      <c r="F319" s="39" t="s">
        <v>41</v>
      </c>
      <c r="G319" s="39" t="s">
        <v>110</v>
      </c>
      <c r="H319" s="41">
        <v>94</v>
      </c>
      <c r="I319" s="36">
        <f t="shared" si="69"/>
        <v>376000</v>
      </c>
      <c r="J319" s="37">
        <f t="shared" si="67"/>
        <v>4.7</v>
      </c>
      <c r="K319" s="37">
        <f t="shared" si="68"/>
        <v>7.05</v>
      </c>
      <c r="M319" s="37">
        <f t="shared" si="70"/>
        <v>2.9375</v>
      </c>
      <c r="O319" s="4">
        <f t="shared" si="71"/>
        <v>1410000</v>
      </c>
      <c r="Q319" s="4">
        <f t="shared" si="72"/>
        <v>117500</v>
      </c>
      <c r="S319" s="4">
        <f t="shared" si="73"/>
        <v>4700</v>
      </c>
      <c r="U319" s="4">
        <f t="shared" si="76"/>
        <v>16920</v>
      </c>
      <c r="W319" s="4">
        <f t="shared" si="74"/>
        <v>1410</v>
      </c>
      <c r="Y319" s="4">
        <f t="shared" si="75"/>
        <v>1468.75</v>
      </c>
    </row>
    <row r="320" spans="1:25" ht="14.5" hidden="1" customHeight="1" outlineLevel="1" x14ac:dyDescent="0.35">
      <c r="A320" s="39" t="s">
        <v>977</v>
      </c>
      <c r="B320" s="39" t="s">
        <v>109</v>
      </c>
      <c r="C320" s="39" t="s">
        <v>978</v>
      </c>
      <c r="D320" s="39" t="s">
        <v>979</v>
      </c>
      <c r="E320" s="40" t="s">
        <v>61</v>
      </c>
      <c r="F320" s="39" t="s">
        <v>41</v>
      </c>
      <c r="G320" s="39" t="s">
        <v>980</v>
      </c>
      <c r="H320" s="41">
        <v>89</v>
      </c>
      <c r="I320" s="36">
        <f t="shared" si="69"/>
        <v>356000</v>
      </c>
      <c r="J320" s="37">
        <f t="shared" si="67"/>
        <v>4.45</v>
      </c>
      <c r="K320" s="37">
        <f t="shared" si="68"/>
        <v>6.6749999999999998</v>
      </c>
      <c r="M320" s="37">
        <f t="shared" si="70"/>
        <v>2.78125</v>
      </c>
      <c r="O320" s="4">
        <f t="shared" si="71"/>
        <v>1335000</v>
      </c>
      <c r="Q320" s="4">
        <f t="shared" si="72"/>
        <v>111250</v>
      </c>
      <c r="S320" s="4">
        <f t="shared" si="73"/>
        <v>4450</v>
      </c>
      <c r="U320" s="4">
        <f t="shared" si="76"/>
        <v>16020</v>
      </c>
      <c r="W320" s="4">
        <f t="shared" si="74"/>
        <v>1335</v>
      </c>
      <c r="Y320" s="4">
        <f t="shared" si="75"/>
        <v>1390.625</v>
      </c>
    </row>
    <row r="321" spans="1:25" ht="14.5" hidden="1" customHeight="1" outlineLevel="1" x14ac:dyDescent="0.35">
      <c r="A321" s="39" t="s">
        <v>981</v>
      </c>
      <c r="B321" s="39" t="s">
        <v>109</v>
      </c>
      <c r="C321" s="39" t="s">
        <v>109</v>
      </c>
      <c r="D321" s="39" t="s">
        <v>593</v>
      </c>
      <c r="E321" s="40" t="s">
        <v>40</v>
      </c>
      <c r="F321" s="39" t="s">
        <v>41</v>
      </c>
      <c r="G321" s="39" t="s">
        <v>110</v>
      </c>
      <c r="H321" s="41">
        <v>88</v>
      </c>
      <c r="I321" s="36">
        <f t="shared" si="69"/>
        <v>352000</v>
      </c>
      <c r="J321" s="37">
        <f t="shared" si="67"/>
        <v>4.4000000000000004</v>
      </c>
      <c r="K321" s="37">
        <f t="shared" si="68"/>
        <v>6.6</v>
      </c>
      <c r="M321" s="37">
        <f t="shared" si="70"/>
        <v>2.75</v>
      </c>
      <c r="O321" s="4">
        <f t="shared" si="71"/>
        <v>1320000</v>
      </c>
      <c r="Q321" s="4">
        <f t="shared" si="72"/>
        <v>110000</v>
      </c>
      <c r="S321" s="4">
        <f t="shared" si="73"/>
        <v>4400</v>
      </c>
      <c r="U321" s="4">
        <f t="shared" si="76"/>
        <v>15840</v>
      </c>
      <c r="W321" s="4">
        <f t="shared" si="74"/>
        <v>1320</v>
      </c>
      <c r="Y321" s="4">
        <f t="shared" si="75"/>
        <v>1375</v>
      </c>
    </row>
    <row r="322" spans="1:25" ht="14.5" hidden="1" customHeight="1" outlineLevel="1" x14ac:dyDescent="0.35">
      <c r="A322" s="39" t="s">
        <v>982</v>
      </c>
      <c r="B322" s="39" t="s">
        <v>109</v>
      </c>
      <c r="C322" s="39" t="s">
        <v>109</v>
      </c>
      <c r="D322" s="39" t="s">
        <v>983</v>
      </c>
      <c r="E322" s="40" t="s">
        <v>238</v>
      </c>
      <c r="F322" s="39" t="s">
        <v>41</v>
      </c>
      <c r="G322" s="39" t="s">
        <v>984</v>
      </c>
      <c r="H322" s="41">
        <v>88</v>
      </c>
      <c r="I322" s="36">
        <f t="shared" si="69"/>
        <v>352000</v>
      </c>
      <c r="J322" s="37">
        <f t="shared" si="67"/>
        <v>4.4000000000000004</v>
      </c>
      <c r="K322" s="37">
        <f t="shared" si="68"/>
        <v>6.6</v>
      </c>
      <c r="M322" s="37">
        <f t="shared" si="70"/>
        <v>2.75</v>
      </c>
      <c r="O322" s="4">
        <f t="shared" si="71"/>
        <v>1320000</v>
      </c>
      <c r="Q322" s="4">
        <f t="shared" si="72"/>
        <v>110000</v>
      </c>
      <c r="S322" s="4">
        <f t="shared" si="73"/>
        <v>4400</v>
      </c>
      <c r="U322" s="4">
        <f t="shared" si="76"/>
        <v>15840</v>
      </c>
      <c r="W322" s="4">
        <f t="shared" si="74"/>
        <v>1320</v>
      </c>
      <c r="Y322" s="4">
        <f t="shared" si="75"/>
        <v>1375</v>
      </c>
    </row>
    <row r="323" spans="1:25" ht="14.5" hidden="1" customHeight="1" outlineLevel="1" x14ac:dyDescent="0.35">
      <c r="A323" s="39" t="s">
        <v>985</v>
      </c>
      <c r="B323" s="39" t="s">
        <v>109</v>
      </c>
      <c r="C323" s="39" t="s">
        <v>109</v>
      </c>
      <c r="D323" s="39" t="s">
        <v>986</v>
      </c>
      <c r="E323" s="40" t="s">
        <v>552</v>
      </c>
      <c r="F323" s="39" t="s">
        <v>41</v>
      </c>
      <c r="G323" s="39" t="s">
        <v>110</v>
      </c>
      <c r="H323" s="41">
        <v>88</v>
      </c>
      <c r="I323" s="36">
        <f t="shared" si="69"/>
        <v>352000</v>
      </c>
      <c r="J323" s="37">
        <f t="shared" si="67"/>
        <v>4.4000000000000004</v>
      </c>
      <c r="K323" s="37">
        <f t="shared" si="68"/>
        <v>6.6</v>
      </c>
      <c r="M323" s="37">
        <f t="shared" si="70"/>
        <v>2.75</v>
      </c>
      <c r="O323" s="4">
        <f t="shared" si="71"/>
        <v>1320000</v>
      </c>
      <c r="Q323" s="4">
        <f t="shared" si="72"/>
        <v>110000</v>
      </c>
      <c r="S323" s="4">
        <f t="shared" si="73"/>
        <v>4400</v>
      </c>
      <c r="U323" s="4">
        <f t="shared" si="76"/>
        <v>15840</v>
      </c>
      <c r="W323" s="4">
        <f t="shared" si="74"/>
        <v>1320</v>
      </c>
      <c r="Y323" s="4">
        <f t="shared" si="75"/>
        <v>1375</v>
      </c>
    </row>
    <row r="324" spans="1:25" ht="14.5" hidden="1" customHeight="1" outlineLevel="1" x14ac:dyDescent="0.35">
      <c r="A324" s="39" t="s">
        <v>987</v>
      </c>
      <c r="B324" s="39" t="s">
        <v>834</v>
      </c>
      <c r="C324" s="39" t="s">
        <v>988</v>
      </c>
      <c r="D324" s="39" t="s">
        <v>989</v>
      </c>
      <c r="E324" s="40" t="s">
        <v>130</v>
      </c>
      <c r="F324" s="39" t="s">
        <v>101</v>
      </c>
      <c r="G324" s="39" t="s">
        <v>110</v>
      </c>
      <c r="H324" s="41">
        <v>87</v>
      </c>
      <c r="I324" s="36">
        <f t="shared" si="69"/>
        <v>348000</v>
      </c>
      <c r="J324" s="37">
        <f t="shared" si="67"/>
        <v>4.3500000000000005</v>
      </c>
      <c r="K324" s="37">
        <f t="shared" si="68"/>
        <v>6.5249999999999995</v>
      </c>
      <c r="M324" s="37">
        <f t="shared" si="70"/>
        <v>2.71875</v>
      </c>
      <c r="O324" s="4">
        <f t="shared" si="71"/>
        <v>1305000</v>
      </c>
      <c r="Q324" s="4">
        <f t="shared" si="72"/>
        <v>108750</v>
      </c>
      <c r="S324" s="4">
        <f t="shared" si="73"/>
        <v>4350</v>
      </c>
      <c r="U324" s="4">
        <f t="shared" si="76"/>
        <v>15660</v>
      </c>
      <c r="W324" s="4">
        <f t="shared" si="74"/>
        <v>1305</v>
      </c>
      <c r="Y324" s="4">
        <f t="shared" si="75"/>
        <v>1359.375</v>
      </c>
    </row>
    <row r="325" spans="1:25" ht="14.5" hidden="1" customHeight="1" outlineLevel="1" x14ac:dyDescent="0.35">
      <c r="A325" s="39" t="s">
        <v>990</v>
      </c>
      <c r="B325" s="39" t="s">
        <v>109</v>
      </c>
      <c r="C325" s="39" t="s">
        <v>109</v>
      </c>
      <c r="D325" s="39" t="s">
        <v>491</v>
      </c>
      <c r="E325" s="40" t="s">
        <v>91</v>
      </c>
      <c r="F325" s="39" t="s">
        <v>41</v>
      </c>
      <c r="G325" s="39" t="s">
        <v>991</v>
      </c>
      <c r="H325" s="41">
        <v>86</v>
      </c>
      <c r="I325" s="36">
        <f t="shared" si="69"/>
        <v>344000</v>
      </c>
      <c r="J325" s="37">
        <f t="shared" si="67"/>
        <v>4.3</v>
      </c>
      <c r="K325" s="37">
        <f t="shared" si="68"/>
        <v>6.45</v>
      </c>
      <c r="M325" s="37">
        <f t="shared" si="70"/>
        <v>2.6875</v>
      </c>
      <c r="O325" s="4">
        <f t="shared" si="71"/>
        <v>1290000</v>
      </c>
      <c r="Q325" s="4">
        <f t="shared" si="72"/>
        <v>107500</v>
      </c>
      <c r="S325" s="4">
        <f t="shared" si="73"/>
        <v>4300</v>
      </c>
      <c r="U325" s="4">
        <f t="shared" si="76"/>
        <v>15480</v>
      </c>
      <c r="W325" s="4">
        <f t="shared" si="74"/>
        <v>1290</v>
      </c>
      <c r="Y325" s="4">
        <f t="shared" si="75"/>
        <v>1343.75</v>
      </c>
    </row>
    <row r="326" spans="1:25" ht="14.5" hidden="1" customHeight="1" outlineLevel="1" x14ac:dyDescent="0.35">
      <c r="A326" s="39" t="s">
        <v>992</v>
      </c>
      <c r="B326" s="39" t="s">
        <v>993</v>
      </c>
      <c r="C326" s="39" t="s">
        <v>994</v>
      </c>
      <c r="D326" s="39" t="s">
        <v>995</v>
      </c>
      <c r="E326" s="40" t="s">
        <v>100</v>
      </c>
      <c r="F326" s="39" t="s">
        <v>101</v>
      </c>
      <c r="G326" s="39" t="s">
        <v>110</v>
      </c>
      <c r="H326" s="41">
        <v>85</v>
      </c>
      <c r="I326" s="36">
        <f t="shared" si="69"/>
        <v>340000</v>
      </c>
      <c r="J326" s="37">
        <f t="shared" si="67"/>
        <v>4.25</v>
      </c>
      <c r="K326" s="37">
        <f t="shared" si="68"/>
        <v>6.375</v>
      </c>
      <c r="M326" s="37">
        <f t="shared" si="70"/>
        <v>2.65625</v>
      </c>
      <c r="O326" s="4">
        <f t="shared" si="71"/>
        <v>1275000</v>
      </c>
      <c r="Q326" s="4">
        <f t="shared" si="72"/>
        <v>106250</v>
      </c>
      <c r="S326" s="4">
        <f t="shared" si="73"/>
        <v>4250</v>
      </c>
      <c r="U326" s="4">
        <f t="shared" si="76"/>
        <v>15300</v>
      </c>
      <c r="W326" s="4">
        <f t="shared" si="74"/>
        <v>1275</v>
      </c>
      <c r="Y326" s="4">
        <f t="shared" si="75"/>
        <v>1328.125</v>
      </c>
    </row>
    <row r="327" spans="1:25" ht="14.5" hidden="1" customHeight="1" outlineLevel="1" x14ac:dyDescent="0.35">
      <c r="A327" s="39" t="s">
        <v>996</v>
      </c>
      <c r="B327" s="39" t="s">
        <v>109</v>
      </c>
      <c r="C327" s="39" t="s">
        <v>997</v>
      </c>
      <c r="D327" s="39" t="s">
        <v>998</v>
      </c>
      <c r="E327" s="40" t="s">
        <v>61</v>
      </c>
      <c r="F327" s="39" t="s">
        <v>41</v>
      </c>
      <c r="G327" s="39" t="s">
        <v>110</v>
      </c>
      <c r="H327" s="41">
        <v>84</v>
      </c>
      <c r="I327" s="36">
        <f t="shared" si="69"/>
        <v>336000</v>
      </c>
      <c r="J327" s="37">
        <f t="shared" si="67"/>
        <v>4.2</v>
      </c>
      <c r="K327" s="37">
        <f t="shared" si="68"/>
        <v>6.3</v>
      </c>
      <c r="M327" s="37">
        <f t="shared" si="70"/>
        <v>2.625</v>
      </c>
      <c r="O327" s="4">
        <f t="shared" si="71"/>
        <v>1260000</v>
      </c>
      <c r="Q327" s="4">
        <f t="shared" si="72"/>
        <v>105000</v>
      </c>
      <c r="S327" s="4">
        <f t="shared" si="73"/>
        <v>4200</v>
      </c>
      <c r="U327" s="4">
        <f t="shared" si="76"/>
        <v>15120</v>
      </c>
      <c r="W327" s="4">
        <f t="shared" si="74"/>
        <v>1260</v>
      </c>
      <c r="Y327" s="4">
        <f t="shared" si="75"/>
        <v>1312.5</v>
      </c>
    </row>
    <row r="328" spans="1:25" ht="14.5" hidden="1" customHeight="1" outlineLevel="1" x14ac:dyDescent="0.35">
      <c r="A328" s="39" t="s">
        <v>999</v>
      </c>
      <c r="B328" s="39" t="s">
        <v>109</v>
      </c>
      <c r="C328" s="39" t="s">
        <v>109</v>
      </c>
      <c r="D328" s="39" t="s">
        <v>1000</v>
      </c>
      <c r="E328" s="40" t="s">
        <v>91</v>
      </c>
      <c r="F328" s="39" t="s">
        <v>41</v>
      </c>
      <c r="G328" s="39" t="s">
        <v>1001</v>
      </c>
      <c r="H328" s="41">
        <v>81</v>
      </c>
      <c r="I328" s="36">
        <f t="shared" si="69"/>
        <v>324000</v>
      </c>
      <c r="J328" s="37">
        <f t="shared" si="67"/>
        <v>4.05</v>
      </c>
      <c r="K328" s="37">
        <f t="shared" si="68"/>
        <v>6.0750000000000002</v>
      </c>
      <c r="M328" s="37">
        <f t="shared" si="70"/>
        <v>2.53125</v>
      </c>
      <c r="O328" s="4">
        <f t="shared" si="71"/>
        <v>1215000</v>
      </c>
      <c r="Q328" s="4">
        <f t="shared" si="72"/>
        <v>101250</v>
      </c>
      <c r="S328" s="4">
        <f t="shared" si="73"/>
        <v>4050</v>
      </c>
      <c r="U328" s="4">
        <f t="shared" si="76"/>
        <v>14580</v>
      </c>
      <c r="W328" s="4">
        <f t="shared" si="74"/>
        <v>1215</v>
      </c>
      <c r="Y328" s="4">
        <f t="shared" si="75"/>
        <v>1265.625</v>
      </c>
    </row>
    <row r="329" spans="1:25" ht="14.5" hidden="1" customHeight="1" outlineLevel="1" x14ac:dyDescent="0.35">
      <c r="A329" s="39" t="s">
        <v>1002</v>
      </c>
      <c r="B329" s="39" t="s">
        <v>109</v>
      </c>
      <c r="C329" s="39" t="s">
        <v>1003</v>
      </c>
      <c r="D329" s="39" t="s">
        <v>109</v>
      </c>
      <c r="E329" s="40" t="s">
        <v>87</v>
      </c>
      <c r="F329" s="39" t="s">
        <v>41</v>
      </c>
      <c r="G329" s="39" t="s">
        <v>110</v>
      </c>
      <c r="H329" s="41">
        <v>81</v>
      </c>
      <c r="I329" s="36">
        <f t="shared" si="69"/>
        <v>324000</v>
      </c>
      <c r="J329" s="37">
        <f t="shared" si="67"/>
        <v>4.05</v>
      </c>
      <c r="K329" s="37">
        <f t="shared" si="68"/>
        <v>6.0750000000000002</v>
      </c>
      <c r="M329" s="37">
        <f t="shared" si="70"/>
        <v>2.53125</v>
      </c>
      <c r="O329" s="4">
        <f t="shared" si="71"/>
        <v>1215000</v>
      </c>
      <c r="Q329" s="4">
        <f t="shared" si="72"/>
        <v>101250</v>
      </c>
      <c r="S329" s="4">
        <f t="shared" si="73"/>
        <v>4050</v>
      </c>
      <c r="U329" s="4">
        <f t="shared" si="76"/>
        <v>14580</v>
      </c>
      <c r="W329" s="4">
        <f t="shared" si="74"/>
        <v>1215</v>
      </c>
      <c r="Y329" s="4">
        <f t="shared" si="75"/>
        <v>1265.625</v>
      </c>
    </row>
    <row r="330" spans="1:25" ht="14.5" hidden="1" customHeight="1" outlineLevel="1" x14ac:dyDescent="0.35">
      <c r="A330" s="39" t="s">
        <v>1004</v>
      </c>
      <c r="B330" s="39" t="s">
        <v>109</v>
      </c>
      <c r="C330" s="39" t="s">
        <v>109</v>
      </c>
      <c r="D330" s="39" t="s">
        <v>1005</v>
      </c>
      <c r="E330" s="40" t="s">
        <v>126</v>
      </c>
      <c r="F330" s="39" t="s">
        <v>41</v>
      </c>
      <c r="G330" s="39" t="s">
        <v>1006</v>
      </c>
      <c r="H330" s="41">
        <v>79</v>
      </c>
      <c r="I330" s="36">
        <f t="shared" si="69"/>
        <v>316000</v>
      </c>
      <c r="J330" s="37">
        <f t="shared" si="67"/>
        <v>3.95</v>
      </c>
      <c r="K330" s="37">
        <f t="shared" si="68"/>
        <v>5.9249999999999998</v>
      </c>
      <c r="M330" s="37">
        <f t="shared" si="70"/>
        <v>2.46875</v>
      </c>
      <c r="O330" s="4">
        <f t="shared" si="71"/>
        <v>1185000</v>
      </c>
      <c r="Q330" s="4">
        <f t="shared" si="72"/>
        <v>98750</v>
      </c>
      <c r="S330" s="4">
        <f t="shared" si="73"/>
        <v>3950</v>
      </c>
      <c r="U330" s="4">
        <f t="shared" si="76"/>
        <v>14220</v>
      </c>
      <c r="W330" s="4">
        <f t="shared" si="74"/>
        <v>1185</v>
      </c>
      <c r="Y330" s="4">
        <f t="shared" si="75"/>
        <v>1234.375</v>
      </c>
    </row>
    <row r="331" spans="1:25" ht="14.5" hidden="1" customHeight="1" outlineLevel="1" x14ac:dyDescent="0.35">
      <c r="A331" s="39" t="s">
        <v>1007</v>
      </c>
      <c r="B331" s="39" t="s">
        <v>109</v>
      </c>
      <c r="C331" s="39" t="s">
        <v>109</v>
      </c>
      <c r="D331" s="39" t="s">
        <v>109</v>
      </c>
      <c r="E331" s="40" t="s">
        <v>106</v>
      </c>
      <c r="F331" s="39" t="s">
        <v>41</v>
      </c>
      <c r="G331" s="39" t="s">
        <v>110</v>
      </c>
      <c r="H331" s="41">
        <v>78</v>
      </c>
      <c r="I331" s="36">
        <f t="shared" si="69"/>
        <v>312000</v>
      </c>
      <c r="J331" s="37">
        <f t="shared" si="67"/>
        <v>3.9000000000000004</v>
      </c>
      <c r="K331" s="37">
        <f t="shared" si="68"/>
        <v>5.85</v>
      </c>
      <c r="M331" s="37">
        <f t="shared" si="70"/>
        <v>2.4375</v>
      </c>
      <c r="O331" s="4">
        <f t="shared" si="71"/>
        <v>1170000</v>
      </c>
      <c r="Q331" s="4">
        <f t="shared" si="72"/>
        <v>97500</v>
      </c>
      <c r="S331" s="4">
        <f t="shared" si="73"/>
        <v>3900</v>
      </c>
      <c r="U331" s="4">
        <f t="shared" si="76"/>
        <v>14040</v>
      </c>
      <c r="W331" s="4">
        <f t="shared" si="74"/>
        <v>1170</v>
      </c>
      <c r="Y331" s="4">
        <f t="shared" si="75"/>
        <v>1218.75</v>
      </c>
    </row>
    <row r="332" spans="1:25" ht="14.5" hidden="1" customHeight="1" outlineLevel="1" x14ac:dyDescent="0.35">
      <c r="A332" s="39" t="s">
        <v>1008</v>
      </c>
      <c r="B332" s="39" t="s">
        <v>109</v>
      </c>
      <c r="C332" s="39" t="s">
        <v>109</v>
      </c>
      <c r="D332" s="39" t="s">
        <v>1009</v>
      </c>
      <c r="E332" s="40" t="s">
        <v>302</v>
      </c>
      <c r="F332" s="39" t="s">
        <v>41</v>
      </c>
      <c r="G332" s="39" t="s">
        <v>110</v>
      </c>
      <c r="H332" s="41">
        <v>78</v>
      </c>
      <c r="I332" s="36">
        <f t="shared" si="69"/>
        <v>312000</v>
      </c>
      <c r="J332" s="37">
        <f t="shared" si="67"/>
        <v>3.9000000000000004</v>
      </c>
      <c r="K332" s="37">
        <f t="shared" si="68"/>
        <v>5.85</v>
      </c>
      <c r="M332" s="37">
        <f t="shared" si="70"/>
        <v>2.4375</v>
      </c>
      <c r="O332" s="4">
        <f t="shared" si="71"/>
        <v>1170000</v>
      </c>
      <c r="Q332" s="4">
        <f t="shared" si="72"/>
        <v>97500</v>
      </c>
      <c r="S332" s="4">
        <f t="shared" si="73"/>
        <v>3900</v>
      </c>
      <c r="U332" s="4">
        <f t="shared" si="76"/>
        <v>14040</v>
      </c>
      <c r="W332" s="4">
        <f t="shared" si="74"/>
        <v>1170</v>
      </c>
      <c r="Y332" s="4">
        <f t="shared" si="75"/>
        <v>1218.75</v>
      </c>
    </row>
    <row r="333" spans="1:25" ht="14.5" hidden="1" customHeight="1" outlineLevel="1" x14ac:dyDescent="0.35">
      <c r="A333" s="39" t="s">
        <v>1010</v>
      </c>
      <c r="B333" s="39" t="s">
        <v>109</v>
      </c>
      <c r="C333" s="39" t="s">
        <v>109</v>
      </c>
      <c r="D333" s="39" t="s">
        <v>1011</v>
      </c>
      <c r="E333" s="40" t="s">
        <v>91</v>
      </c>
      <c r="F333" s="39" t="s">
        <v>41</v>
      </c>
      <c r="G333" s="39" t="s">
        <v>110</v>
      </c>
      <c r="H333" s="41">
        <v>78</v>
      </c>
      <c r="I333" s="36">
        <f t="shared" si="69"/>
        <v>312000</v>
      </c>
      <c r="J333" s="37">
        <f t="shared" si="67"/>
        <v>3.9000000000000004</v>
      </c>
      <c r="K333" s="37">
        <f t="shared" si="68"/>
        <v>5.85</v>
      </c>
      <c r="M333" s="37">
        <f t="shared" si="70"/>
        <v>2.4375</v>
      </c>
      <c r="O333" s="4">
        <f t="shared" si="71"/>
        <v>1170000</v>
      </c>
      <c r="Q333" s="4">
        <f t="shared" si="72"/>
        <v>97500</v>
      </c>
      <c r="S333" s="4">
        <f t="shared" si="73"/>
        <v>3900</v>
      </c>
      <c r="U333" s="4">
        <f t="shared" si="76"/>
        <v>14040</v>
      </c>
      <c r="W333" s="4">
        <f t="shared" si="74"/>
        <v>1170</v>
      </c>
      <c r="Y333" s="4">
        <f t="shared" si="75"/>
        <v>1218.75</v>
      </c>
    </row>
    <row r="334" spans="1:25" ht="14.5" hidden="1" customHeight="1" outlineLevel="1" x14ac:dyDescent="0.35">
      <c r="A334" s="39" t="s">
        <v>1012</v>
      </c>
      <c r="B334" s="39" t="s">
        <v>109</v>
      </c>
      <c r="C334" s="39" t="s">
        <v>109</v>
      </c>
      <c r="D334" s="39" t="s">
        <v>1013</v>
      </c>
      <c r="E334" s="40" t="s">
        <v>191</v>
      </c>
      <c r="F334" s="39" t="s">
        <v>41</v>
      </c>
      <c r="G334" s="39" t="s">
        <v>1014</v>
      </c>
      <c r="H334" s="41">
        <v>76</v>
      </c>
      <c r="I334" s="36">
        <f t="shared" si="69"/>
        <v>304000</v>
      </c>
      <c r="J334" s="37">
        <f t="shared" si="67"/>
        <v>3.8000000000000003</v>
      </c>
      <c r="K334" s="37">
        <f t="shared" si="68"/>
        <v>5.7</v>
      </c>
      <c r="M334" s="37">
        <f t="shared" si="70"/>
        <v>2.375</v>
      </c>
      <c r="O334" s="4">
        <f t="shared" si="71"/>
        <v>1140000</v>
      </c>
      <c r="Q334" s="4">
        <f t="shared" si="72"/>
        <v>95000</v>
      </c>
      <c r="S334" s="4">
        <f t="shared" si="73"/>
        <v>3800</v>
      </c>
      <c r="U334" s="4">
        <f t="shared" si="76"/>
        <v>13680</v>
      </c>
      <c r="W334" s="4">
        <f t="shared" si="74"/>
        <v>1140</v>
      </c>
      <c r="Y334" s="4">
        <f t="shared" si="75"/>
        <v>1187.5</v>
      </c>
    </row>
    <row r="335" spans="1:25" ht="14.5" hidden="1" customHeight="1" outlineLevel="1" x14ac:dyDescent="0.35">
      <c r="A335" s="39" t="s">
        <v>1015</v>
      </c>
      <c r="B335" s="39" t="s">
        <v>109</v>
      </c>
      <c r="C335" s="39" t="s">
        <v>1016</v>
      </c>
      <c r="D335" s="39" t="s">
        <v>1017</v>
      </c>
      <c r="E335" s="40" t="s">
        <v>1018</v>
      </c>
      <c r="F335" s="39" t="s">
        <v>41</v>
      </c>
      <c r="G335" s="39" t="s">
        <v>110</v>
      </c>
      <c r="H335" s="41">
        <v>76</v>
      </c>
      <c r="I335" s="36">
        <f t="shared" si="69"/>
        <v>304000</v>
      </c>
      <c r="J335" s="37">
        <f t="shared" si="67"/>
        <v>3.8000000000000003</v>
      </c>
      <c r="K335" s="37">
        <f t="shared" si="68"/>
        <v>5.7</v>
      </c>
      <c r="M335" s="37">
        <f t="shared" si="70"/>
        <v>2.375</v>
      </c>
      <c r="O335" s="4">
        <f t="shared" si="71"/>
        <v>1140000</v>
      </c>
      <c r="Q335" s="4">
        <f t="shared" si="72"/>
        <v>95000</v>
      </c>
      <c r="S335" s="4">
        <f t="shared" si="73"/>
        <v>3800</v>
      </c>
      <c r="U335" s="4">
        <f t="shared" si="76"/>
        <v>13680</v>
      </c>
      <c r="W335" s="4">
        <f t="shared" si="74"/>
        <v>1140</v>
      </c>
      <c r="Y335" s="4">
        <f t="shared" si="75"/>
        <v>1187.5</v>
      </c>
    </row>
    <row r="336" spans="1:25" ht="14.5" hidden="1" customHeight="1" outlineLevel="1" x14ac:dyDescent="0.35">
      <c r="A336" s="39" t="s">
        <v>1019</v>
      </c>
      <c r="B336" s="39" t="s">
        <v>109</v>
      </c>
      <c r="C336" s="39" t="s">
        <v>109</v>
      </c>
      <c r="D336" s="39" t="s">
        <v>1020</v>
      </c>
      <c r="E336" s="40" t="s">
        <v>255</v>
      </c>
      <c r="F336" s="39" t="s">
        <v>41</v>
      </c>
      <c r="G336" s="39" t="s">
        <v>110</v>
      </c>
      <c r="H336" s="41">
        <v>76</v>
      </c>
      <c r="I336" s="36">
        <f t="shared" si="69"/>
        <v>304000</v>
      </c>
      <c r="J336" s="37">
        <f t="shared" si="67"/>
        <v>3.8000000000000003</v>
      </c>
      <c r="K336" s="37">
        <f t="shared" si="68"/>
        <v>5.7</v>
      </c>
      <c r="M336" s="37">
        <f t="shared" si="70"/>
        <v>2.375</v>
      </c>
      <c r="O336" s="4">
        <f t="shared" si="71"/>
        <v>1140000</v>
      </c>
      <c r="Q336" s="4">
        <f t="shared" si="72"/>
        <v>95000</v>
      </c>
      <c r="S336" s="4">
        <f t="shared" si="73"/>
        <v>3800</v>
      </c>
      <c r="U336" s="4">
        <f t="shared" si="76"/>
        <v>13680</v>
      </c>
      <c r="W336" s="4">
        <f t="shared" si="74"/>
        <v>1140</v>
      </c>
      <c r="Y336" s="4">
        <f t="shared" si="75"/>
        <v>1187.5</v>
      </c>
    </row>
    <row r="337" spans="1:25" ht="14.5" hidden="1" customHeight="1" outlineLevel="1" x14ac:dyDescent="0.35">
      <c r="A337" s="39" t="s">
        <v>1021</v>
      </c>
      <c r="B337" s="39" t="s">
        <v>109</v>
      </c>
      <c r="C337" s="39" t="s">
        <v>109</v>
      </c>
      <c r="D337" s="39" t="s">
        <v>946</v>
      </c>
      <c r="E337" s="40" t="s">
        <v>841</v>
      </c>
      <c r="F337" s="39" t="s">
        <v>101</v>
      </c>
      <c r="G337" s="39" t="s">
        <v>1022</v>
      </c>
      <c r="H337" s="41">
        <v>75</v>
      </c>
      <c r="I337" s="36">
        <f t="shared" si="69"/>
        <v>300000</v>
      </c>
      <c r="J337" s="37">
        <f t="shared" si="67"/>
        <v>3.75</v>
      </c>
      <c r="K337" s="37">
        <f t="shared" si="68"/>
        <v>5.625</v>
      </c>
      <c r="M337" s="37">
        <f t="shared" si="70"/>
        <v>2.34375</v>
      </c>
      <c r="O337" s="4">
        <f t="shared" si="71"/>
        <v>1125000</v>
      </c>
      <c r="Q337" s="4">
        <f t="shared" si="72"/>
        <v>93750</v>
      </c>
      <c r="S337" s="4">
        <f t="shared" si="73"/>
        <v>3750</v>
      </c>
      <c r="U337" s="4">
        <f t="shared" si="76"/>
        <v>13500</v>
      </c>
      <c r="W337" s="4">
        <f t="shared" si="74"/>
        <v>1125</v>
      </c>
      <c r="Y337" s="4">
        <f t="shared" si="75"/>
        <v>1171.875</v>
      </c>
    </row>
    <row r="338" spans="1:25" ht="14.5" hidden="1" customHeight="1" outlineLevel="1" x14ac:dyDescent="0.35">
      <c r="A338" s="39" t="s">
        <v>1023</v>
      </c>
      <c r="B338" s="39" t="s">
        <v>109</v>
      </c>
      <c r="C338" s="39" t="s">
        <v>109</v>
      </c>
      <c r="D338" s="39" t="s">
        <v>1024</v>
      </c>
      <c r="E338" s="40" t="s">
        <v>161</v>
      </c>
      <c r="F338" s="39" t="s">
        <v>101</v>
      </c>
      <c r="G338" s="39" t="s">
        <v>1025</v>
      </c>
      <c r="H338" s="41">
        <v>73</v>
      </c>
      <c r="I338" s="36">
        <f t="shared" si="69"/>
        <v>292000</v>
      </c>
      <c r="J338" s="37">
        <f t="shared" si="67"/>
        <v>3.6500000000000004</v>
      </c>
      <c r="K338" s="37">
        <f t="shared" si="68"/>
        <v>5.4749999999999996</v>
      </c>
      <c r="M338" s="37">
        <f t="shared" si="70"/>
        <v>2.28125</v>
      </c>
      <c r="O338" s="4">
        <f t="shared" si="71"/>
        <v>1095000</v>
      </c>
      <c r="Q338" s="4">
        <f t="shared" si="72"/>
        <v>91250</v>
      </c>
      <c r="S338" s="4">
        <f t="shared" si="73"/>
        <v>3650</v>
      </c>
      <c r="U338" s="4">
        <f t="shared" si="76"/>
        <v>13140</v>
      </c>
      <c r="W338" s="4">
        <f t="shared" si="74"/>
        <v>1095</v>
      </c>
      <c r="Y338" s="4">
        <f t="shared" si="75"/>
        <v>1140.625</v>
      </c>
    </row>
    <row r="339" spans="1:25" ht="14.5" hidden="1" customHeight="1" outlineLevel="1" x14ac:dyDescent="0.35">
      <c r="A339" s="39" t="s">
        <v>1026</v>
      </c>
      <c r="B339" s="39" t="s">
        <v>109</v>
      </c>
      <c r="C339" s="39" t="s">
        <v>1027</v>
      </c>
      <c r="D339" s="39" t="s">
        <v>1028</v>
      </c>
      <c r="E339" s="40" t="s">
        <v>230</v>
      </c>
      <c r="F339" s="39" t="s">
        <v>41</v>
      </c>
      <c r="G339" s="39" t="s">
        <v>1029</v>
      </c>
      <c r="H339" s="41">
        <v>73</v>
      </c>
      <c r="I339" s="36">
        <f t="shared" si="69"/>
        <v>292000</v>
      </c>
      <c r="J339" s="37">
        <f t="shared" si="67"/>
        <v>3.6500000000000004</v>
      </c>
      <c r="K339" s="37">
        <f t="shared" si="68"/>
        <v>5.4749999999999996</v>
      </c>
      <c r="M339" s="37">
        <f t="shared" si="70"/>
        <v>2.28125</v>
      </c>
      <c r="O339" s="4">
        <f t="shared" si="71"/>
        <v>1095000</v>
      </c>
      <c r="Q339" s="4">
        <f t="shared" si="72"/>
        <v>91250</v>
      </c>
      <c r="S339" s="4">
        <f t="shared" si="73"/>
        <v>3650</v>
      </c>
      <c r="U339" s="4">
        <f t="shared" si="76"/>
        <v>13140</v>
      </c>
      <c r="W339" s="4">
        <f t="shared" si="74"/>
        <v>1095</v>
      </c>
      <c r="Y339" s="4">
        <f t="shared" si="75"/>
        <v>1140.625</v>
      </c>
    </row>
    <row r="340" spans="1:25" ht="14.5" hidden="1" customHeight="1" outlineLevel="1" x14ac:dyDescent="0.35">
      <c r="A340" s="39" t="s">
        <v>1030</v>
      </c>
      <c r="B340" s="39" t="s">
        <v>109</v>
      </c>
      <c r="C340" s="39" t="s">
        <v>109</v>
      </c>
      <c r="D340" s="39" t="s">
        <v>1031</v>
      </c>
      <c r="E340" s="40" t="s">
        <v>146</v>
      </c>
      <c r="F340" s="39" t="s">
        <v>41</v>
      </c>
      <c r="G340" s="39" t="s">
        <v>1032</v>
      </c>
      <c r="H340" s="41">
        <v>73</v>
      </c>
      <c r="I340" s="36">
        <f t="shared" si="69"/>
        <v>292000</v>
      </c>
      <c r="J340" s="37">
        <f t="shared" si="67"/>
        <v>3.6500000000000004</v>
      </c>
      <c r="K340" s="37">
        <f t="shared" si="68"/>
        <v>5.4749999999999996</v>
      </c>
      <c r="M340" s="37">
        <f t="shared" si="70"/>
        <v>2.28125</v>
      </c>
      <c r="O340" s="4">
        <f t="shared" si="71"/>
        <v>1095000</v>
      </c>
      <c r="Q340" s="4">
        <f t="shared" si="72"/>
        <v>91250</v>
      </c>
      <c r="S340" s="4">
        <f t="shared" si="73"/>
        <v>3650</v>
      </c>
      <c r="U340" s="4">
        <f t="shared" si="76"/>
        <v>13140</v>
      </c>
      <c r="W340" s="4">
        <f t="shared" si="74"/>
        <v>1095</v>
      </c>
      <c r="Y340" s="4">
        <f t="shared" si="75"/>
        <v>1140.625</v>
      </c>
    </row>
    <row r="341" spans="1:25" ht="14.5" hidden="1" customHeight="1" outlineLevel="1" x14ac:dyDescent="0.35">
      <c r="A341" s="39" t="s">
        <v>1033</v>
      </c>
      <c r="B341" s="39" t="s">
        <v>109</v>
      </c>
      <c r="C341" s="39" t="s">
        <v>109</v>
      </c>
      <c r="D341" s="39" t="s">
        <v>1034</v>
      </c>
      <c r="E341" s="40" t="s">
        <v>126</v>
      </c>
      <c r="F341" s="39" t="s">
        <v>41</v>
      </c>
      <c r="G341" s="39" t="s">
        <v>110</v>
      </c>
      <c r="H341" s="41">
        <v>71</v>
      </c>
      <c r="I341" s="36">
        <f t="shared" si="69"/>
        <v>284000</v>
      </c>
      <c r="J341" s="37">
        <f t="shared" si="67"/>
        <v>3.5500000000000003</v>
      </c>
      <c r="K341" s="37">
        <f t="shared" si="68"/>
        <v>5.3250000000000002</v>
      </c>
      <c r="M341" s="37">
        <f t="shared" si="70"/>
        <v>2.21875</v>
      </c>
      <c r="O341" s="4">
        <f t="shared" si="71"/>
        <v>1065000</v>
      </c>
      <c r="Q341" s="4">
        <f t="shared" si="72"/>
        <v>88750</v>
      </c>
      <c r="S341" s="4">
        <f t="shared" si="73"/>
        <v>3550</v>
      </c>
      <c r="U341" s="4">
        <f t="shared" si="76"/>
        <v>12780</v>
      </c>
      <c r="W341" s="4">
        <f t="shared" si="74"/>
        <v>1065</v>
      </c>
      <c r="Y341" s="4">
        <f t="shared" si="75"/>
        <v>1109.375</v>
      </c>
    </row>
    <row r="342" spans="1:25" ht="14.5" hidden="1" customHeight="1" outlineLevel="1" x14ac:dyDescent="0.35">
      <c r="A342" s="39" t="s">
        <v>1035</v>
      </c>
      <c r="B342" s="39" t="s">
        <v>109</v>
      </c>
      <c r="C342" s="39" t="s">
        <v>109</v>
      </c>
      <c r="D342" s="39" t="s">
        <v>1036</v>
      </c>
      <c r="E342" s="40" t="s">
        <v>441</v>
      </c>
      <c r="F342" s="39" t="s">
        <v>101</v>
      </c>
      <c r="G342" s="39" t="s">
        <v>110</v>
      </c>
      <c r="H342" s="41">
        <v>71</v>
      </c>
      <c r="I342" s="36">
        <f t="shared" si="69"/>
        <v>284000</v>
      </c>
      <c r="J342" s="37">
        <f t="shared" si="67"/>
        <v>3.5500000000000003</v>
      </c>
      <c r="K342" s="37">
        <f t="shared" si="68"/>
        <v>5.3250000000000002</v>
      </c>
      <c r="M342" s="37">
        <f t="shared" si="70"/>
        <v>2.21875</v>
      </c>
      <c r="O342" s="4">
        <f t="shared" si="71"/>
        <v>1065000</v>
      </c>
      <c r="Q342" s="4">
        <f t="shared" si="72"/>
        <v>88750</v>
      </c>
      <c r="S342" s="4">
        <f t="shared" si="73"/>
        <v>3550</v>
      </c>
      <c r="U342" s="4">
        <f t="shared" si="76"/>
        <v>12780</v>
      </c>
      <c r="W342" s="4">
        <f t="shared" si="74"/>
        <v>1065</v>
      </c>
      <c r="Y342" s="4">
        <f t="shared" si="75"/>
        <v>1109.375</v>
      </c>
    </row>
    <row r="343" spans="1:25" ht="14.5" hidden="1" customHeight="1" outlineLevel="1" x14ac:dyDescent="0.35">
      <c r="A343" s="39" t="s">
        <v>1037</v>
      </c>
      <c r="B343" s="39" t="s">
        <v>109</v>
      </c>
      <c r="C343" s="39" t="s">
        <v>1038</v>
      </c>
      <c r="D343" s="39" t="s">
        <v>1039</v>
      </c>
      <c r="E343" s="40" t="s">
        <v>66</v>
      </c>
      <c r="F343" s="39" t="s">
        <v>41</v>
      </c>
      <c r="G343" s="39" t="s">
        <v>1040</v>
      </c>
      <c r="H343" s="41">
        <v>71</v>
      </c>
      <c r="I343" s="36">
        <f t="shared" si="69"/>
        <v>284000</v>
      </c>
      <c r="J343" s="37">
        <f t="shared" si="67"/>
        <v>3.5500000000000003</v>
      </c>
      <c r="K343" s="37">
        <f t="shared" si="68"/>
        <v>5.3250000000000002</v>
      </c>
      <c r="M343" s="37">
        <f t="shared" si="70"/>
        <v>2.21875</v>
      </c>
      <c r="O343" s="4">
        <f t="shared" si="71"/>
        <v>1065000</v>
      </c>
      <c r="Q343" s="4">
        <f t="shared" si="72"/>
        <v>88750</v>
      </c>
      <c r="S343" s="4">
        <f t="shared" si="73"/>
        <v>3550</v>
      </c>
      <c r="U343" s="4">
        <f t="shared" si="76"/>
        <v>12780</v>
      </c>
      <c r="W343" s="4">
        <f t="shared" si="74"/>
        <v>1065</v>
      </c>
      <c r="Y343" s="4">
        <f t="shared" si="75"/>
        <v>1109.375</v>
      </c>
    </row>
    <row r="344" spans="1:25" ht="14.5" hidden="1" customHeight="1" outlineLevel="1" x14ac:dyDescent="0.35">
      <c r="A344" s="39" t="s">
        <v>1041</v>
      </c>
      <c r="B344" s="39" t="s">
        <v>109</v>
      </c>
      <c r="C344" s="39" t="s">
        <v>1042</v>
      </c>
      <c r="D344" s="39" t="s">
        <v>1043</v>
      </c>
      <c r="E344" s="40" t="s">
        <v>533</v>
      </c>
      <c r="F344" s="39" t="s">
        <v>41</v>
      </c>
      <c r="G344" s="39" t="s">
        <v>1044</v>
      </c>
      <c r="H344" s="41">
        <v>71</v>
      </c>
      <c r="I344" s="36">
        <f t="shared" si="69"/>
        <v>284000</v>
      </c>
      <c r="J344" s="37">
        <f t="shared" si="67"/>
        <v>3.5500000000000003</v>
      </c>
      <c r="K344" s="37">
        <f t="shared" si="68"/>
        <v>5.3250000000000002</v>
      </c>
      <c r="M344" s="37">
        <f t="shared" si="70"/>
        <v>2.21875</v>
      </c>
      <c r="O344" s="4">
        <f t="shared" si="71"/>
        <v>1065000</v>
      </c>
      <c r="Q344" s="4">
        <f t="shared" si="72"/>
        <v>88750</v>
      </c>
      <c r="S344" s="4">
        <f t="shared" si="73"/>
        <v>3550</v>
      </c>
      <c r="U344" s="4">
        <f t="shared" si="76"/>
        <v>12780</v>
      </c>
      <c r="W344" s="4">
        <f t="shared" si="74"/>
        <v>1065</v>
      </c>
      <c r="Y344" s="4">
        <f t="shared" si="75"/>
        <v>1109.375</v>
      </c>
    </row>
    <row r="345" spans="1:25" ht="14.5" hidden="1" customHeight="1" outlineLevel="1" x14ac:dyDescent="0.35">
      <c r="A345" s="39" t="s">
        <v>1045</v>
      </c>
      <c r="B345" s="39" t="s">
        <v>109</v>
      </c>
      <c r="C345" s="39" t="s">
        <v>109</v>
      </c>
      <c r="D345" s="39" t="s">
        <v>1046</v>
      </c>
      <c r="E345" s="40" t="s">
        <v>238</v>
      </c>
      <c r="F345" s="39" t="s">
        <v>41</v>
      </c>
      <c r="G345" s="39" t="s">
        <v>110</v>
      </c>
      <c r="H345" s="41">
        <v>71</v>
      </c>
      <c r="I345" s="36">
        <f t="shared" si="69"/>
        <v>284000</v>
      </c>
      <c r="J345" s="37">
        <f t="shared" si="67"/>
        <v>3.5500000000000003</v>
      </c>
      <c r="K345" s="37">
        <f t="shared" si="68"/>
        <v>5.3250000000000002</v>
      </c>
      <c r="M345" s="37">
        <f t="shared" si="70"/>
        <v>2.21875</v>
      </c>
      <c r="O345" s="4">
        <f t="shared" si="71"/>
        <v>1065000</v>
      </c>
      <c r="Q345" s="4">
        <f t="shared" si="72"/>
        <v>88750</v>
      </c>
      <c r="S345" s="4">
        <f t="shared" si="73"/>
        <v>3550</v>
      </c>
      <c r="U345" s="4">
        <f t="shared" si="76"/>
        <v>12780</v>
      </c>
      <c r="W345" s="4">
        <f t="shared" si="74"/>
        <v>1065</v>
      </c>
      <c r="Y345" s="4">
        <f t="shared" si="75"/>
        <v>1109.375</v>
      </c>
    </row>
    <row r="346" spans="1:25" ht="14.5" hidden="1" customHeight="1" outlineLevel="1" x14ac:dyDescent="0.35">
      <c r="A346" s="39" t="s">
        <v>1047</v>
      </c>
      <c r="B346" s="39" t="s">
        <v>109</v>
      </c>
      <c r="C346" s="39" t="s">
        <v>109</v>
      </c>
      <c r="D346" s="39" t="s">
        <v>109</v>
      </c>
      <c r="E346" s="40" t="s">
        <v>441</v>
      </c>
      <c r="F346" s="39" t="s">
        <v>101</v>
      </c>
      <c r="G346" s="39" t="s">
        <v>110</v>
      </c>
      <c r="H346" s="41">
        <v>68</v>
      </c>
      <c r="I346" s="36">
        <f t="shared" si="69"/>
        <v>272000</v>
      </c>
      <c r="J346" s="37">
        <f t="shared" si="67"/>
        <v>3.4000000000000004</v>
      </c>
      <c r="K346" s="37">
        <f t="shared" si="68"/>
        <v>5.0999999999999996</v>
      </c>
      <c r="M346" s="37">
        <f t="shared" si="70"/>
        <v>2.125</v>
      </c>
      <c r="O346" s="4">
        <f t="shared" si="71"/>
        <v>1020000</v>
      </c>
      <c r="Q346" s="4">
        <f t="shared" si="72"/>
        <v>85000</v>
      </c>
      <c r="S346" s="4">
        <f t="shared" si="73"/>
        <v>3400</v>
      </c>
      <c r="U346" s="4">
        <f t="shared" si="76"/>
        <v>12240</v>
      </c>
      <c r="W346" s="4">
        <f t="shared" si="74"/>
        <v>1020</v>
      </c>
      <c r="Y346" s="4">
        <f t="shared" si="75"/>
        <v>1062.5</v>
      </c>
    </row>
    <row r="347" spans="1:25" ht="14.5" hidden="1" customHeight="1" outlineLevel="1" x14ac:dyDescent="0.35">
      <c r="A347" s="39" t="s">
        <v>1048</v>
      </c>
      <c r="B347" s="39" t="s">
        <v>109</v>
      </c>
      <c r="C347" s="39" t="s">
        <v>109</v>
      </c>
      <c r="D347" s="39" t="s">
        <v>1049</v>
      </c>
      <c r="E347" s="40" t="s">
        <v>436</v>
      </c>
      <c r="F347" s="39" t="s">
        <v>41</v>
      </c>
      <c r="G347" s="39" t="s">
        <v>1050</v>
      </c>
      <c r="H347" s="41">
        <v>68</v>
      </c>
      <c r="I347" s="36">
        <f t="shared" si="69"/>
        <v>272000</v>
      </c>
      <c r="J347" s="37">
        <f t="shared" si="67"/>
        <v>3.4000000000000004</v>
      </c>
      <c r="K347" s="37">
        <f t="shared" si="68"/>
        <v>5.0999999999999996</v>
      </c>
      <c r="M347" s="37">
        <f t="shared" si="70"/>
        <v>2.125</v>
      </c>
      <c r="O347" s="4">
        <f t="shared" si="71"/>
        <v>1020000</v>
      </c>
      <c r="Q347" s="4">
        <f t="shared" si="72"/>
        <v>85000</v>
      </c>
      <c r="S347" s="4">
        <f t="shared" si="73"/>
        <v>3400</v>
      </c>
      <c r="U347" s="4">
        <f t="shared" si="76"/>
        <v>12240</v>
      </c>
      <c r="W347" s="4">
        <f t="shared" si="74"/>
        <v>1020</v>
      </c>
      <c r="Y347" s="4">
        <f t="shared" si="75"/>
        <v>1062.5</v>
      </c>
    </row>
    <row r="348" spans="1:25" ht="14.5" hidden="1" customHeight="1" outlineLevel="1" x14ac:dyDescent="0.35">
      <c r="A348" s="39" t="s">
        <v>1051</v>
      </c>
      <c r="B348" s="39" t="s">
        <v>109</v>
      </c>
      <c r="C348" s="39" t="s">
        <v>1052</v>
      </c>
      <c r="D348" s="39" t="s">
        <v>765</v>
      </c>
      <c r="E348" s="40" t="s">
        <v>78</v>
      </c>
      <c r="F348" s="39" t="s">
        <v>41</v>
      </c>
      <c r="G348" s="39" t="s">
        <v>766</v>
      </c>
      <c r="H348" s="41">
        <v>68</v>
      </c>
      <c r="I348" s="36">
        <f t="shared" si="69"/>
        <v>272000</v>
      </c>
      <c r="J348" s="37">
        <f t="shared" si="67"/>
        <v>3.4000000000000004</v>
      </c>
      <c r="K348" s="37">
        <f t="shared" si="68"/>
        <v>5.0999999999999996</v>
      </c>
      <c r="M348" s="37">
        <f t="shared" si="70"/>
        <v>2.125</v>
      </c>
      <c r="O348" s="4">
        <f t="shared" si="71"/>
        <v>1020000</v>
      </c>
      <c r="Q348" s="4">
        <f t="shared" si="72"/>
        <v>85000</v>
      </c>
      <c r="S348" s="4">
        <f t="shared" si="73"/>
        <v>3400</v>
      </c>
      <c r="U348" s="4">
        <f t="shared" si="76"/>
        <v>12240</v>
      </c>
      <c r="W348" s="4">
        <f t="shared" si="74"/>
        <v>1020</v>
      </c>
      <c r="Y348" s="4">
        <f t="shared" si="75"/>
        <v>1062.5</v>
      </c>
    </row>
    <row r="349" spans="1:25" ht="14.5" hidden="1" customHeight="1" outlineLevel="1" x14ac:dyDescent="0.35">
      <c r="A349" s="39" t="s">
        <v>1053</v>
      </c>
      <c r="B349" s="39" t="s">
        <v>109</v>
      </c>
      <c r="C349" s="39" t="s">
        <v>109</v>
      </c>
      <c r="D349" s="39" t="s">
        <v>305</v>
      </c>
      <c r="E349" s="40" t="s">
        <v>302</v>
      </c>
      <c r="F349" s="39" t="s">
        <v>41</v>
      </c>
      <c r="G349" s="39" t="s">
        <v>1054</v>
      </c>
      <c r="H349" s="41">
        <v>66</v>
      </c>
      <c r="I349" s="36">
        <f t="shared" si="69"/>
        <v>264000</v>
      </c>
      <c r="J349" s="37">
        <f t="shared" si="67"/>
        <v>3.3000000000000003</v>
      </c>
      <c r="K349" s="37">
        <f t="shared" si="68"/>
        <v>4.95</v>
      </c>
      <c r="M349" s="37">
        <f t="shared" si="70"/>
        <v>2.0625</v>
      </c>
      <c r="O349" s="4">
        <f t="shared" si="71"/>
        <v>990000</v>
      </c>
      <c r="Q349" s="4">
        <f t="shared" si="72"/>
        <v>82500</v>
      </c>
      <c r="S349" s="4">
        <f t="shared" si="73"/>
        <v>3300</v>
      </c>
      <c r="U349" s="4">
        <f t="shared" si="76"/>
        <v>11880</v>
      </c>
      <c r="W349" s="4">
        <f t="shared" si="74"/>
        <v>990</v>
      </c>
      <c r="Y349" s="4">
        <f t="shared" si="75"/>
        <v>1031.25</v>
      </c>
    </row>
    <row r="350" spans="1:25" ht="14.5" hidden="1" customHeight="1" outlineLevel="1" x14ac:dyDescent="0.35">
      <c r="A350" s="39" t="s">
        <v>1055</v>
      </c>
      <c r="B350" s="39" t="s">
        <v>109</v>
      </c>
      <c r="C350" s="39" t="s">
        <v>211</v>
      </c>
      <c r="D350" s="39" t="s">
        <v>1056</v>
      </c>
      <c r="E350" s="40" t="s">
        <v>255</v>
      </c>
      <c r="F350" s="39" t="s">
        <v>41</v>
      </c>
      <c r="G350" s="39" t="s">
        <v>1057</v>
      </c>
      <c r="H350" s="41">
        <v>66</v>
      </c>
      <c r="I350" s="36">
        <f t="shared" si="69"/>
        <v>264000</v>
      </c>
      <c r="J350" s="37">
        <f t="shared" si="67"/>
        <v>3.3000000000000003</v>
      </c>
      <c r="K350" s="37">
        <f t="shared" si="68"/>
        <v>4.95</v>
      </c>
      <c r="M350" s="37">
        <f t="shared" si="70"/>
        <v>2.0625</v>
      </c>
      <c r="O350" s="4">
        <f t="shared" si="71"/>
        <v>990000</v>
      </c>
      <c r="Q350" s="4">
        <f t="shared" si="72"/>
        <v>82500</v>
      </c>
      <c r="S350" s="4">
        <f t="shared" si="73"/>
        <v>3300</v>
      </c>
      <c r="U350" s="4">
        <f t="shared" si="76"/>
        <v>11880</v>
      </c>
      <c r="W350" s="4">
        <f t="shared" si="74"/>
        <v>990</v>
      </c>
      <c r="Y350" s="4">
        <f t="shared" si="75"/>
        <v>1031.25</v>
      </c>
    </row>
    <row r="351" spans="1:25" ht="14.5" hidden="1" customHeight="1" outlineLevel="1" x14ac:dyDescent="0.35">
      <c r="A351" s="39" t="s">
        <v>1058</v>
      </c>
      <c r="B351" s="39" t="s">
        <v>109</v>
      </c>
      <c r="C351" s="39" t="s">
        <v>109</v>
      </c>
      <c r="D351" s="39" t="s">
        <v>1059</v>
      </c>
      <c r="E351" s="40" t="s">
        <v>302</v>
      </c>
      <c r="F351" s="39" t="s">
        <v>41</v>
      </c>
      <c r="G351" s="39" t="s">
        <v>110</v>
      </c>
      <c r="H351" s="41">
        <v>66</v>
      </c>
      <c r="I351" s="36">
        <f t="shared" si="69"/>
        <v>264000</v>
      </c>
      <c r="J351" s="37">
        <f t="shared" si="67"/>
        <v>3.3000000000000003</v>
      </c>
      <c r="K351" s="37">
        <f t="shared" si="68"/>
        <v>4.95</v>
      </c>
      <c r="M351" s="37">
        <f t="shared" si="70"/>
        <v>2.0625</v>
      </c>
      <c r="O351" s="4">
        <f t="shared" si="71"/>
        <v>990000</v>
      </c>
      <c r="Q351" s="4">
        <f t="shared" si="72"/>
        <v>82500</v>
      </c>
      <c r="S351" s="4">
        <f t="shared" si="73"/>
        <v>3300</v>
      </c>
      <c r="U351" s="4">
        <f t="shared" si="76"/>
        <v>11880</v>
      </c>
      <c r="W351" s="4">
        <f t="shared" si="74"/>
        <v>990</v>
      </c>
      <c r="Y351" s="4">
        <f t="shared" si="75"/>
        <v>1031.25</v>
      </c>
    </row>
    <row r="352" spans="1:25" ht="14.5" hidden="1" customHeight="1" outlineLevel="1" x14ac:dyDescent="0.35">
      <c r="A352" s="39" t="s">
        <v>1060</v>
      </c>
      <c r="B352" s="39" t="s">
        <v>109</v>
      </c>
      <c r="C352" s="39" t="s">
        <v>109</v>
      </c>
      <c r="D352" s="39" t="s">
        <v>1061</v>
      </c>
      <c r="E352" s="40" t="s">
        <v>750</v>
      </c>
      <c r="F352" s="39" t="s">
        <v>41</v>
      </c>
      <c r="G352" s="39" t="s">
        <v>1062</v>
      </c>
      <c r="H352" s="41">
        <v>64</v>
      </c>
      <c r="I352" s="36">
        <f t="shared" si="69"/>
        <v>256000</v>
      </c>
      <c r="J352" s="37">
        <f t="shared" si="67"/>
        <v>3.2</v>
      </c>
      <c r="K352" s="37">
        <f t="shared" si="68"/>
        <v>4.8</v>
      </c>
      <c r="M352" s="37">
        <f t="shared" si="70"/>
        <v>2</v>
      </c>
      <c r="O352" s="4">
        <f t="shared" si="71"/>
        <v>960000</v>
      </c>
      <c r="Q352" s="4">
        <f t="shared" si="72"/>
        <v>80000</v>
      </c>
      <c r="S352" s="4">
        <f t="shared" si="73"/>
        <v>3200</v>
      </c>
      <c r="U352" s="4">
        <f t="shared" si="76"/>
        <v>11520</v>
      </c>
      <c r="W352" s="4">
        <f t="shared" si="74"/>
        <v>960</v>
      </c>
      <c r="Y352" s="4">
        <f t="shared" si="75"/>
        <v>1000</v>
      </c>
    </row>
    <row r="353" spans="1:25" ht="14.5" hidden="1" customHeight="1" outlineLevel="1" x14ac:dyDescent="0.35">
      <c r="A353" s="39" t="s">
        <v>1063</v>
      </c>
      <c r="B353" s="39" t="s">
        <v>109</v>
      </c>
      <c r="C353" s="39" t="s">
        <v>109</v>
      </c>
      <c r="D353" s="39" t="s">
        <v>1064</v>
      </c>
      <c r="E353" s="40" t="s">
        <v>161</v>
      </c>
      <c r="F353" s="39" t="s">
        <v>101</v>
      </c>
      <c r="G353" s="39" t="s">
        <v>1065</v>
      </c>
      <c r="H353" s="41">
        <v>63</v>
      </c>
      <c r="I353" s="36">
        <f t="shared" si="69"/>
        <v>252000</v>
      </c>
      <c r="J353" s="37">
        <f t="shared" si="67"/>
        <v>3.1500000000000004</v>
      </c>
      <c r="K353" s="37">
        <f t="shared" si="68"/>
        <v>4.7249999999999996</v>
      </c>
      <c r="M353" s="37">
        <f t="shared" si="70"/>
        <v>1.96875</v>
      </c>
      <c r="O353" s="4">
        <f t="shared" si="71"/>
        <v>945000</v>
      </c>
      <c r="Q353" s="4">
        <f t="shared" si="72"/>
        <v>78750</v>
      </c>
      <c r="S353" s="4">
        <f t="shared" si="73"/>
        <v>3150</v>
      </c>
      <c r="U353" s="4">
        <f t="shared" si="76"/>
        <v>11340</v>
      </c>
      <c r="W353" s="4">
        <f t="shared" si="74"/>
        <v>945</v>
      </c>
      <c r="Y353" s="4">
        <f t="shared" si="75"/>
        <v>984.375</v>
      </c>
    </row>
    <row r="354" spans="1:25" ht="14.5" hidden="1" customHeight="1" outlineLevel="1" x14ac:dyDescent="0.35">
      <c r="A354" s="39" t="s">
        <v>1066</v>
      </c>
      <c r="B354" s="39" t="s">
        <v>109</v>
      </c>
      <c r="C354" s="39" t="s">
        <v>1067</v>
      </c>
      <c r="D354" s="39" t="s">
        <v>1068</v>
      </c>
      <c r="E354" s="40" t="s">
        <v>222</v>
      </c>
      <c r="F354" s="39" t="s">
        <v>41</v>
      </c>
      <c r="G354" s="39" t="s">
        <v>110</v>
      </c>
      <c r="H354" s="41">
        <v>63</v>
      </c>
      <c r="I354" s="36">
        <f t="shared" si="69"/>
        <v>252000</v>
      </c>
      <c r="J354" s="37">
        <f t="shared" si="67"/>
        <v>3.1500000000000004</v>
      </c>
      <c r="K354" s="37">
        <f t="shared" si="68"/>
        <v>4.7249999999999996</v>
      </c>
      <c r="M354" s="37">
        <f t="shared" si="70"/>
        <v>1.96875</v>
      </c>
      <c r="O354" s="4">
        <f t="shared" si="71"/>
        <v>945000</v>
      </c>
      <c r="Q354" s="4">
        <f t="shared" si="72"/>
        <v>78750</v>
      </c>
      <c r="S354" s="4">
        <f t="shared" si="73"/>
        <v>3150</v>
      </c>
      <c r="U354" s="4">
        <f t="shared" si="76"/>
        <v>11340</v>
      </c>
      <c r="W354" s="4">
        <f t="shared" si="74"/>
        <v>945</v>
      </c>
      <c r="Y354" s="4">
        <f t="shared" si="75"/>
        <v>984.375</v>
      </c>
    </row>
    <row r="355" spans="1:25" ht="14.5" hidden="1" customHeight="1" outlineLevel="1" x14ac:dyDescent="0.35">
      <c r="A355" s="39" t="s">
        <v>1069</v>
      </c>
      <c r="B355" s="39" t="s">
        <v>109</v>
      </c>
      <c r="C355" s="39" t="s">
        <v>1070</v>
      </c>
      <c r="D355" s="39" t="s">
        <v>1071</v>
      </c>
      <c r="E355" s="40" t="s">
        <v>200</v>
      </c>
      <c r="F355" s="39" t="s">
        <v>41</v>
      </c>
      <c r="G355" s="39" t="s">
        <v>1072</v>
      </c>
      <c r="H355" s="41">
        <v>63</v>
      </c>
      <c r="I355" s="36">
        <f t="shared" si="69"/>
        <v>252000</v>
      </c>
      <c r="J355" s="37">
        <f t="shared" si="67"/>
        <v>3.1500000000000004</v>
      </c>
      <c r="K355" s="37">
        <f t="shared" si="68"/>
        <v>4.7249999999999996</v>
      </c>
      <c r="M355" s="37">
        <f t="shared" si="70"/>
        <v>1.96875</v>
      </c>
      <c r="O355" s="4">
        <f t="shared" si="71"/>
        <v>945000</v>
      </c>
      <c r="Q355" s="4">
        <f t="shared" si="72"/>
        <v>78750</v>
      </c>
      <c r="S355" s="4">
        <f t="shared" si="73"/>
        <v>3150</v>
      </c>
      <c r="U355" s="4">
        <f t="shared" si="76"/>
        <v>11340</v>
      </c>
      <c r="W355" s="4">
        <f t="shared" si="74"/>
        <v>945</v>
      </c>
      <c r="Y355" s="4">
        <f t="shared" si="75"/>
        <v>984.375</v>
      </c>
    </row>
    <row r="356" spans="1:25" ht="14.5" hidden="1" customHeight="1" outlineLevel="1" x14ac:dyDescent="0.35">
      <c r="A356" s="39" t="s">
        <v>1073</v>
      </c>
      <c r="B356" s="39" t="s">
        <v>109</v>
      </c>
      <c r="C356" s="39" t="s">
        <v>109</v>
      </c>
      <c r="D356" s="39" t="s">
        <v>1074</v>
      </c>
      <c r="E356" s="40" t="s">
        <v>538</v>
      </c>
      <c r="F356" s="39" t="s">
        <v>41</v>
      </c>
      <c r="G356" s="39" t="s">
        <v>110</v>
      </c>
      <c r="H356" s="41">
        <v>61</v>
      </c>
      <c r="I356" s="36">
        <f t="shared" si="69"/>
        <v>244000</v>
      </c>
      <c r="J356" s="37">
        <f t="shared" si="67"/>
        <v>3.0500000000000003</v>
      </c>
      <c r="K356" s="37">
        <f t="shared" si="68"/>
        <v>4.5750000000000002</v>
      </c>
      <c r="M356" s="37">
        <f t="shared" si="70"/>
        <v>1.90625</v>
      </c>
      <c r="O356" s="4">
        <f t="shared" si="71"/>
        <v>915000</v>
      </c>
      <c r="Q356" s="4">
        <f t="shared" si="72"/>
        <v>76250</v>
      </c>
      <c r="S356" s="4">
        <f t="shared" si="73"/>
        <v>3050</v>
      </c>
      <c r="U356" s="4">
        <f t="shared" si="76"/>
        <v>10980</v>
      </c>
      <c r="W356" s="4">
        <f t="shared" si="74"/>
        <v>915</v>
      </c>
      <c r="Y356" s="4">
        <f t="shared" si="75"/>
        <v>953.125</v>
      </c>
    </row>
    <row r="357" spans="1:25" ht="14.5" hidden="1" customHeight="1" outlineLevel="1" x14ac:dyDescent="0.35">
      <c r="A357" s="39" t="s">
        <v>1075</v>
      </c>
      <c r="B357" s="39" t="s">
        <v>109</v>
      </c>
      <c r="C357" s="39" t="s">
        <v>1076</v>
      </c>
      <c r="D357" s="39" t="s">
        <v>928</v>
      </c>
      <c r="E357" s="40" t="s">
        <v>95</v>
      </c>
      <c r="F357" s="39" t="s">
        <v>41</v>
      </c>
      <c r="G357" s="39" t="s">
        <v>110</v>
      </c>
      <c r="H357" s="41">
        <v>61</v>
      </c>
      <c r="I357" s="36">
        <f t="shared" si="69"/>
        <v>244000</v>
      </c>
      <c r="J357" s="37">
        <f t="shared" si="67"/>
        <v>3.0500000000000003</v>
      </c>
      <c r="K357" s="37">
        <f t="shared" si="68"/>
        <v>4.5750000000000002</v>
      </c>
      <c r="M357" s="37">
        <f t="shared" si="70"/>
        <v>1.90625</v>
      </c>
      <c r="O357" s="4">
        <f t="shared" si="71"/>
        <v>915000</v>
      </c>
      <c r="Q357" s="4">
        <f t="shared" si="72"/>
        <v>76250</v>
      </c>
      <c r="S357" s="4">
        <f t="shared" si="73"/>
        <v>3050</v>
      </c>
      <c r="U357" s="4">
        <f t="shared" si="76"/>
        <v>10980</v>
      </c>
      <c r="W357" s="4">
        <f t="shared" si="74"/>
        <v>915</v>
      </c>
      <c r="Y357" s="4">
        <f t="shared" si="75"/>
        <v>953.125</v>
      </c>
    </row>
    <row r="358" spans="1:25" ht="14.5" hidden="1" customHeight="1" outlineLevel="1" x14ac:dyDescent="0.35">
      <c r="A358" s="39" t="s">
        <v>1077</v>
      </c>
      <c r="B358" s="39" t="s">
        <v>109</v>
      </c>
      <c r="C358" s="39" t="s">
        <v>1078</v>
      </c>
      <c r="D358" s="39" t="s">
        <v>1079</v>
      </c>
      <c r="E358" s="40" t="s">
        <v>251</v>
      </c>
      <c r="F358" s="39" t="s">
        <v>41</v>
      </c>
      <c r="G358" s="39" t="s">
        <v>110</v>
      </c>
      <c r="H358" s="41">
        <v>61</v>
      </c>
      <c r="I358" s="36">
        <f t="shared" si="69"/>
        <v>244000</v>
      </c>
      <c r="J358" s="37">
        <f t="shared" si="67"/>
        <v>3.0500000000000003</v>
      </c>
      <c r="K358" s="37">
        <f t="shared" si="68"/>
        <v>4.5750000000000002</v>
      </c>
      <c r="M358" s="37">
        <f t="shared" si="70"/>
        <v>1.90625</v>
      </c>
      <c r="O358" s="4">
        <f t="shared" si="71"/>
        <v>915000</v>
      </c>
      <c r="Q358" s="4">
        <f t="shared" si="72"/>
        <v>76250</v>
      </c>
      <c r="S358" s="4">
        <f t="shared" si="73"/>
        <v>3050</v>
      </c>
      <c r="U358" s="4">
        <f t="shared" si="76"/>
        <v>10980</v>
      </c>
      <c r="W358" s="4">
        <f t="shared" si="74"/>
        <v>915</v>
      </c>
      <c r="Y358" s="4">
        <f t="shared" si="75"/>
        <v>953.125</v>
      </c>
    </row>
    <row r="359" spans="1:25" ht="14.5" hidden="1" customHeight="1" outlineLevel="1" x14ac:dyDescent="0.35">
      <c r="A359" s="39" t="s">
        <v>1080</v>
      </c>
      <c r="B359" s="39" t="s">
        <v>109</v>
      </c>
      <c r="C359" s="39" t="s">
        <v>1081</v>
      </c>
      <c r="D359" s="39" t="s">
        <v>1082</v>
      </c>
      <c r="E359" s="40" t="s">
        <v>165</v>
      </c>
      <c r="F359" s="39" t="s">
        <v>41</v>
      </c>
      <c r="G359" s="39" t="s">
        <v>1083</v>
      </c>
      <c r="H359" s="41">
        <v>61</v>
      </c>
      <c r="I359" s="36">
        <f t="shared" si="69"/>
        <v>244000</v>
      </c>
      <c r="J359" s="37">
        <f t="shared" si="67"/>
        <v>3.0500000000000003</v>
      </c>
      <c r="K359" s="37">
        <f t="shared" si="68"/>
        <v>4.5750000000000002</v>
      </c>
      <c r="M359" s="37">
        <f t="shared" si="70"/>
        <v>1.90625</v>
      </c>
      <c r="O359" s="4">
        <f t="shared" si="71"/>
        <v>915000</v>
      </c>
      <c r="Q359" s="4">
        <f t="shared" si="72"/>
        <v>76250</v>
      </c>
      <c r="S359" s="4">
        <f t="shared" si="73"/>
        <v>3050</v>
      </c>
      <c r="U359" s="4">
        <f t="shared" si="76"/>
        <v>10980</v>
      </c>
      <c r="W359" s="4">
        <f t="shared" si="74"/>
        <v>915</v>
      </c>
      <c r="Y359" s="4">
        <f t="shared" si="75"/>
        <v>953.125</v>
      </c>
    </row>
    <row r="360" spans="1:25" ht="14.5" hidden="1" customHeight="1" outlineLevel="1" x14ac:dyDescent="0.35">
      <c r="A360" s="39" t="s">
        <v>1084</v>
      </c>
      <c r="B360" s="39" t="s">
        <v>109</v>
      </c>
      <c r="C360" s="39" t="s">
        <v>109</v>
      </c>
      <c r="D360" s="39" t="s">
        <v>1085</v>
      </c>
      <c r="E360" s="40" t="s">
        <v>367</v>
      </c>
      <c r="F360" s="39" t="s">
        <v>41</v>
      </c>
      <c r="G360" s="39" t="s">
        <v>1086</v>
      </c>
      <c r="H360" s="41">
        <v>61</v>
      </c>
      <c r="I360" s="36">
        <f t="shared" si="69"/>
        <v>244000</v>
      </c>
      <c r="J360" s="37">
        <f t="shared" si="67"/>
        <v>3.0500000000000003</v>
      </c>
      <c r="K360" s="37">
        <f t="shared" si="68"/>
        <v>4.5750000000000002</v>
      </c>
      <c r="M360" s="37">
        <f t="shared" si="70"/>
        <v>1.90625</v>
      </c>
      <c r="O360" s="4">
        <f t="shared" si="71"/>
        <v>915000</v>
      </c>
      <c r="Q360" s="4">
        <f t="shared" si="72"/>
        <v>76250</v>
      </c>
      <c r="S360" s="4">
        <f t="shared" si="73"/>
        <v>3050</v>
      </c>
      <c r="U360" s="4">
        <f t="shared" si="76"/>
        <v>10980</v>
      </c>
      <c r="W360" s="4">
        <f t="shared" si="74"/>
        <v>915</v>
      </c>
      <c r="Y360" s="4">
        <f t="shared" si="75"/>
        <v>953.125</v>
      </c>
    </row>
    <row r="361" spans="1:25" ht="14.5" hidden="1" customHeight="1" outlineLevel="1" x14ac:dyDescent="0.35">
      <c r="A361" s="39" t="s">
        <v>1087</v>
      </c>
      <c r="B361" s="39" t="s">
        <v>1088</v>
      </c>
      <c r="C361" s="39" t="s">
        <v>1089</v>
      </c>
      <c r="D361" s="39" t="s">
        <v>1090</v>
      </c>
      <c r="E361" s="40" t="s">
        <v>51</v>
      </c>
      <c r="F361" s="39" t="s">
        <v>41</v>
      </c>
      <c r="G361" s="39" t="s">
        <v>1091</v>
      </c>
      <c r="H361" s="41">
        <v>61</v>
      </c>
      <c r="I361" s="36">
        <f t="shared" si="69"/>
        <v>244000</v>
      </c>
      <c r="J361" s="37">
        <f t="shared" si="67"/>
        <v>3.0500000000000003</v>
      </c>
      <c r="K361" s="37">
        <f t="shared" si="68"/>
        <v>4.5750000000000002</v>
      </c>
      <c r="M361" s="37">
        <f t="shared" si="70"/>
        <v>1.90625</v>
      </c>
      <c r="O361" s="4">
        <f t="shared" si="71"/>
        <v>915000</v>
      </c>
      <c r="Q361" s="4">
        <f t="shared" si="72"/>
        <v>76250</v>
      </c>
      <c r="S361" s="4">
        <f t="shared" si="73"/>
        <v>3050</v>
      </c>
      <c r="U361" s="4">
        <f t="shared" si="76"/>
        <v>10980</v>
      </c>
      <c r="W361" s="4">
        <f t="shared" si="74"/>
        <v>915</v>
      </c>
      <c r="Y361" s="4">
        <f t="shared" si="75"/>
        <v>953.125</v>
      </c>
    </row>
    <row r="362" spans="1:25" ht="14.5" hidden="1" customHeight="1" outlineLevel="1" x14ac:dyDescent="0.35">
      <c r="A362" s="39" t="s">
        <v>1092</v>
      </c>
      <c r="B362" s="39" t="s">
        <v>109</v>
      </c>
      <c r="C362" s="39" t="s">
        <v>1093</v>
      </c>
      <c r="D362" s="39" t="s">
        <v>460</v>
      </c>
      <c r="E362" s="40" t="s">
        <v>130</v>
      </c>
      <c r="F362" s="39" t="s">
        <v>101</v>
      </c>
      <c r="G362" s="39" t="s">
        <v>1094</v>
      </c>
      <c r="H362" s="41">
        <v>60</v>
      </c>
      <c r="I362" s="36">
        <f t="shared" si="69"/>
        <v>240000</v>
      </c>
      <c r="J362" s="37">
        <f t="shared" si="67"/>
        <v>3</v>
      </c>
      <c r="K362" s="37">
        <f t="shared" si="68"/>
        <v>4.5</v>
      </c>
      <c r="M362" s="37">
        <f t="shared" si="70"/>
        <v>1.875</v>
      </c>
      <c r="O362" s="4">
        <f t="shared" si="71"/>
        <v>900000</v>
      </c>
      <c r="Q362" s="4">
        <f t="shared" si="72"/>
        <v>75000</v>
      </c>
      <c r="S362" s="4">
        <f t="shared" si="73"/>
        <v>3000</v>
      </c>
      <c r="U362" s="4">
        <f t="shared" si="76"/>
        <v>10800</v>
      </c>
      <c r="W362" s="4">
        <f t="shared" si="74"/>
        <v>900</v>
      </c>
      <c r="Y362" s="4">
        <f t="shared" si="75"/>
        <v>937.5</v>
      </c>
    </row>
    <row r="363" spans="1:25" ht="14.5" hidden="1" customHeight="1" outlineLevel="1" x14ac:dyDescent="0.35">
      <c r="A363" s="39" t="s">
        <v>1095</v>
      </c>
      <c r="B363" s="39" t="s">
        <v>109</v>
      </c>
      <c r="C363" s="39" t="s">
        <v>109</v>
      </c>
      <c r="D363" s="39" t="s">
        <v>1096</v>
      </c>
      <c r="E363" s="40" t="s">
        <v>302</v>
      </c>
      <c r="F363" s="39" t="s">
        <v>41</v>
      </c>
      <c r="G363" s="39" t="s">
        <v>110</v>
      </c>
      <c r="H363" s="41">
        <v>59</v>
      </c>
      <c r="I363" s="36">
        <f t="shared" si="69"/>
        <v>236000</v>
      </c>
      <c r="J363" s="37">
        <f t="shared" si="67"/>
        <v>2.95</v>
      </c>
      <c r="K363" s="37">
        <f t="shared" si="68"/>
        <v>4.4249999999999998</v>
      </c>
      <c r="M363" s="37">
        <f t="shared" si="70"/>
        <v>1.84375</v>
      </c>
      <c r="O363" s="4">
        <f t="shared" si="71"/>
        <v>885000</v>
      </c>
      <c r="Q363" s="4">
        <f t="shared" si="72"/>
        <v>73750</v>
      </c>
      <c r="S363" s="4">
        <f t="shared" si="73"/>
        <v>2950</v>
      </c>
      <c r="U363" s="4">
        <f t="shared" si="76"/>
        <v>10620</v>
      </c>
      <c r="W363" s="4">
        <f t="shared" si="74"/>
        <v>885</v>
      </c>
      <c r="Y363" s="4">
        <f t="shared" si="75"/>
        <v>921.875</v>
      </c>
    </row>
    <row r="364" spans="1:25" ht="14.5" hidden="1" customHeight="1" outlineLevel="1" x14ac:dyDescent="0.35">
      <c r="A364" s="39" t="s">
        <v>1097</v>
      </c>
      <c r="B364" s="39" t="s">
        <v>109</v>
      </c>
      <c r="C364" s="39" t="s">
        <v>109</v>
      </c>
      <c r="D364" s="39" t="s">
        <v>1098</v>
      </c>
      <c r="E364" s="40" t="s">
        <v>78</v>
      </c>
      <c r="F364" s="39" t="s">
        <v>41</v>
      </c>
      <c r="G364" s="39" t="s">
        <v>110</v>
      </c>
      <c r="H364" s="41">
        <v>59</v>
      </c>
      <c r="I364" s="36">
        <f t="shared" si="69"/>
        <v>236000</v>
      </c>
      <c r="J364" s="37">
        <f t="shared" ref="J364:J427" si="77">H364*$F$7</f>
        <v>2.95</v>
      </c>
      <c r="K364" s="37">
        <f t="shared" ref="K364:K427" si="78">H364*$G$7</f>
        <v>4.4249999999999998</v>
      </c>
      <c r="M364" s="37">
        <f t="shared" si="70"/>
        <v>1.84375</v>
      </c>
      <c r="O364" s="4">
        <f t="shared" si="71"/>
        <v>885000</v>
      </c>
      <c r="Q364" s="4">
        <f t="shared" si="72"/>
        <v>73750</v>
      </c>
      <c r="S364" s="4">
        <f t="shared" si="73"/>
        <v>2950</v>
      </c>
      <c r="U364" s="4">
        <f t="shared" si="76"/>
        <v>10620</v>
      </c>
      <c r="W364" s="4">
        <f t="shared" si="74"/>
        <v>885</v>
      </c>
      <c r="Y364" s="4">
        <f t="shared" si="75"/>
        <v>921.875</v>
      </c>
    </row>
    <row r="365" spans="1:25" ht="14.5" hidden="1" customHeight="1" outlineLevel="1" x14ac:dyDescent="0.35">
      <c r="A365" s="39" t="s">
        <v>1099</v>
      </c>
      <c r="B365" s="39" t="s">
        <v>109</v>
      </c>
      <c r="C365" s="39" t="s">
        <v>1100</v>
      </c>
      <c r="D365" s="39" t="s">
        <v>1101</v>
      </c>
      <c r="E365" s="40" t="s">
        <v>441</v>
      </c>
      <c r="F365" s="39" t="s">
        <v>101</v>
      </c>
      <c r="G365" s="39" t="s">
        <v>1102</v>
      </c>
      <c r="H365" s="41">
        <v>58</v>
      </c>
      <c r="I365" s="36">
        <f t="shared" ref="I365:I428" si="79">$E$7*H365</f>
        <v>232000</v>
      </c>
      <c r="J365" s="37">
        <f t="shared" si="77"/>
        <v>2.9000000000000004</v>
      </c>
      <c r="K365" s="37">
        <f t="shared" si="78"/>
        <v>4.3499999999999996</v>
      </c>
      <c r="M365" s="37">
        <f t="shared" ref="M365:M428" si="80">0.5*(AVERAGE(J365:K365))</f>
        <v>1.8125</v>
      </c>
      <c r="O365" s="4">
        <f t="shared" ref="O365:O428" si="81">I365*$E$3</f>
        <v>870000</v>
      </c>
      <c r="Q365" s="4">
        <f t="shared" ref="Q365:Q428" si="82">I365*$E$3/12</f>
        <v>72500</v>
      </c>
      <c r="S365" s="4">
        <f t="shared" ref="S365:S428" si="83">Q365*$E$4</f>
        <v>2900</v>
      </c>
      <c r="U365" s="4">
        <f t="shared" si="76"/>
        <v>10440</v>
      </c>
      <c r="W365" s="4">
        <f t="shared" ref="W365:W428" si="84">S365*$E$5</f>
        <v>870</v>
      </c>
      <c r="Y365" s="4">
        <f t="shared" ref="Y365:Y428" si="85">M365*$E$6</f>
        <v>906.25</v>
      </c>
    </row>
    <row r="366" spans="1:25" ht="14.5" hidden="1" customHeight="1" outlineLevel="1" x14ac:dyDescent="0.35">
      <c r="A366" s="39" t="s">
        <v>1103</v>
      </c>
      <c r="B366" s="39" t="s">
        <v>109</v>
      </c>
      <c r="C366" s="39" t="s">
        <v>109</v>
      </c>
      <c r="D366" s="39" t="s">
        <v>1104</v>
      </c>
      <c r="E366" s="40" t="s">
        <v>211</v>
      </c>
      <c r="F366" s="39" t="s">
        <v>41</v>
      </c>
      <c r="G366" s="39" t="s">
        <v>110</v>
      </c>
      <c r="H366" s="41">
        <v>58</v>
      </c>
      <c r="I366" s="36">
        <f t="shared" si="79"/>
        <v>232000</v>
      </c>
      <c r="J366" s="37">
        <f t="shared" si="77"/>
        <v>2.9000000000000004</v>
      </c>
      <c r="K366" s="37">
        <f t="shared" si="78"/>
        <v>4.3499999999999996</v>
      </c>
      <c r="M366" s="37">
        <f t="shared" si="80"/>
        <v>1.8125</v>
      </c>
      <c r="O366" s="4">
        <f t="shared" si="81"/>
        <v>870000</v>
      </c>
      <c r="Q366" s="4">
        <f t="shared" si="82"/>
        <v>72500</v>
      </c>
      <c r="S366" s="4">
        <f t="shared" si="83"/>
        <v>2900</v>
      </c>
      <c r="U366" s="4">
        <f t="shared" ref="U366:U429" si="86">W366*12</f>
        <v>10440</v>
      </c>
      <c r="W366" s="4">
        <f t="shared" si="84"/>
        <v>870</v>
      </c>
      <c r="Y366" s="4">
        <f t="shared" si="85"/>
        <v>906.25</v>
      </c>
    </row>
    <row r="367" spans="1:25" ht="14.5" hidden="1" customHeight="1" outlineLevel="1" x14ac:dyDescent="0.35">
      <c r="A367" s="39" t="s">
        <v>1105</v>
      </c>
      <c r="B367" s="39" t="s">
        <v>109</v>
      </c>
      <c r="C367" s="39" t="s">
        <v>1106</v>
      </c>
      <c r="D367" s="39" t="s">
        <v>1107</v>
      </c>
      <c r="E367" s="40" t="s">
        <v>100</v>
      </c>
      <c r="F367" s="39" t="s">
        <v>101</v>
      </c>
      <c r="G367" s="39" t="s">
        <v>110</v>
      </c>
      <c r="H367" s="41">
        <v>56</v>
      </c>
      <c r="I367" s="36">
        <f t="shared" si="79"/>
        <v>224000</v>
      </c>
      <c r="J367" s="37">
        <f t="shared" si="77"/>
        <v>2.8000000000000003</v>
      </c>
      <c r="K367" s="37">
        <f t="shared" si="78"/>
        <v>4.2</v>
      </c>
      <c r="M367" s="37">
        <f t="shared" si="80"/>
        <v>1.75</v>
      </c>
      <c r="O367" s="4">
        <f t="shared" si="81"/>
        <v>840000</v>
      </c>
      <c r="Q367" s="4">
        <f t="shared" si="82"/>
        <v>70000</v>
      </c>
      <c r="S367" s="4">
        <f t="shared" si="83"/>
        <v>2800</v>
      </c>
      <c r="U367" s="4">
        <f t="shared" si="86"/>
        <v>10080</v>
      </c>
      <c r="W367" s="4">
        <f t="shared" si="84"/>
        <v>840</v>
      </c>
      <c r="Y367" s="4">
        <f t="shared" si="85"/>
        <v>875</v>
      </c>
    </row>
    <row r="368" spans="1:25" ht="14.5" hidden="1" customHeight="1" outlineLevel="1" x14ac:dyDescent="0.35">
      <c r="A368" s="39" t="s">
        <v>1108</v>
      </c>
      <c r="B368" s="39" t="s">
        <v>109</v>
      </c>
      <c r="C368" s="39" t="s">
        <v>109</v>
      </c>
      <c r="D368" s="39" t="s">
        <v>1109</v>
      </c>
      <c r="E368" s="40" t="s">
        <v>114</v>
      </c>
      <c r="F368" s="39" t="s">
        <v>41</v>
      </c>
      <c r="G368" s="39" t="s">
        <v>1110</v>
      </c>
      <c r="H368" s="41">
        <v>56</v>
      </c>
      <c r="I368" s="36">
        <f t="shared" si="79"/>
        <v>224000</v>
      </c>
      <c r="J368" s="37">
        <f t="shared" si="77"/>
        <v>2.8000000000000003</v>
      </c>
      <c r="K368" s="37">
        <f t="shared" si="78"/>
        <v>4.2</v>
      </c>
      <c r="M368" s="37">
        <f t="shared" si="80"/>
        <v>1.75</v>
      </c>
      <c r="O368" s="4">
        <f t="shared" si="81"/>
        <v>840000</v>
      </c>
      <c r="Q368" s="4">
        <f t="shared" si="82"/>
        <v>70000</v>
      </c>
      <c r="S368" s="4">
        <f t="shared" si="83"/>
        <v>2800</v>
      </c>
      <c r="U368" s="4">
        <f t="shared" si="86"/>
        <v>10080</v>
      </c>
      <c r="W368" s="4">
        <f t="shared" si="84"/>
        <v>840</v>
      </c>
      <c r="Y368" s="4">
        <f t="shared" si="85"/>
        <v>875</v>
      </c>
    </row>
    <row r="369" spans="1:25" ht="14.5" hidden="1" customHeight="1" outlineLevel="1" x14ac:dyDescent="0.35">
      <c r="A369" s="39" t="s">
        <v>1111</v>
      </c>
      <c r="B369" s="39" t="s">
        <v>109</v>
      </c>
      <c r="C369" s="39" t="s">
        <v>109</v>
      </c>
      <c r="D369" s="39" t="s">
        <v>1112</v>
      </c>
      <c r="E369" s="40" t="s">
        <v>260</v>
      </c>
      <c r="F369" s="39" t="s">
        <v>41</v>
      </c>
      <c r="G369" s="39" t="s">
        <v>110</v>
      </c>
      <c r="H369" s="41">
        <v>56</v>
      </c>
      <c r="I369" s="36">
        <f t="shared" si="79"/>
        <v>224000</v>
      </c>
      <c r="J369" s="37">
        <f t="shared" si="77"/>
        <v>2.8000000000000003</v>
      </c>
      <c r="K369" s="37">
        <f t="shared" si="78"/>
        <v>4.2</v>
      </c>
      <c r="M369" s="37">
        <f t="shared" si="80"/>
        <v>1.75</v>
      </c>
      <c r="O369" s="4">
        <f t="shared" si="81"/>
        <v>840000</v>
      </c>
      <c r="Q369" s="4">
        <f t="shared" si="82"/>
        <v>70000</v>
      </c>
      <c r="S369" s="4">
        <f t="shared" si="83"/>
        <v>2800</v>
      </c>
      <c r="U369" s="4">
        <f t="shared" si="86"/>
        <v>10080</v>
      </c>
      <c r="W369" s="4">
        <f t="shared" si="84"/>
        <v>840</v>
      </c>
      <c r="Y369" s="4">
        <f t="shared" si="85"/>
        <v>875</v>
      </c>
    </row>
    <row r="370" spans="1:25" ht="14.5" hidden="1" customHeight="1" outlineLevel="1" x14ac:dyDescent="0.35">
      <c r="A370" s="39" t="s">
        <v>1113</v>
      </c>
      <c r="B370" s="39" t="s">
        <v>109</v>
      </c>
      <c r="C370" s="39" t="s">
        <v>109</v>
      </c>
      <c r="D370" s="39" t="s">
        <v>1114</v>
      </c>
      <c r="E370" s="40" t="s">
        <v>61</v>
      </c>
      <c r="F370" s="39" t="s">
        <v>41</v>
      </c>
      <c r="G370" s="39" t="s">
        <v>110</v>
      </c>
      <c r="H370" s="41">
        <v>56</v>
      </c>
      <c r="I370" s="36">
        <f t="shared" si="79"/>
        <v>224000</v>
      </c>
      <c r="J370" s="37">
        <f t="shared" si="77"/>
        <v>2.8000000000000003</v>
      </c>
      <c r="K370" s="37">
        <f t="shared" si="78"/>
        <v>4.2</v>
      </c>
      <c r="M370" s="37">
        <f t="shared" si="80"/>
        <v>1.75</v>
      </c>
      <c r="O370" s="4">
        <f t="shared" si="81"/>
        <v>840000</v>
      </c>
      <c r="Q370" s="4">
        <f t="shared" si="82"/>
        <v>70000</v>
      </c>
      <c r="S370" s="4">
        <f t="shared" si="83"/>
        <v>2800</v>
      </c>
      <c r="U370" s="4">
        <f t="shared" si="86"/>
        <v>10080</v>
      </c>
      <c r="W370" s="4">
        <f t="shared" si="84"/>
        <v>840</v>
      </c>
      <c r="Y370" s="4">
        <f t="shared" si="85"/>
        <v>875</v>
      </c>
    </row>
    <row r="371" spans="1:25" ht="14.5" hidden="1" customHeight="1" outlineLevel="1" x14ac:dyDescent="0.35">
      <c r="A371" s="39" t="s">
        <v>1115</v>
      </c>
      <c r="B371" s="39" t="s">
        <v>109</v>
      </c>
      <c r="C371" s="39" t="s">
        <v>1116</v>
      </c>
      <c r="D371" s="39" t="s">
        <v>1117</v>
      </c>
      <c r="E371" s="40" t="s">
        <v>721</v>
      </c>
      <c r="F371" s="39" t="s">
        <v>41</v>
      </c>
      <c r="G371" s="39" t="s">
        <v>1118</v>
      </c>
      <c r="H371" s="41">
        <v>55</v>
      </c>
      <c r="I371" s="36">
        <f t="shared" si="79"/>
        <v>220000</v>
      </c>
      <c r="J371" s="37">
        <f t="shared" si="77"/>
        <v>2.75</v>
      </c>
      <c r="K371" s="37">
        <f t="shared" si="78"/>
        <v>4.125</v>
      </c>
      <c r="M371" s="37">
        <f t="shared" si="80"/>
        <v>1.71875</v>
      </c>
      <c r="O371" s="4">
        <f t="shared" si="81"/>
        <v>825000</v>
      </c>
      <c r="Q371" s="4">
        <f t="shared" si="82"/>
        <v>68750</v>
      </c>
      <c r="S371" s="4">
        <f t="shared" si="83"/>
        <v>2750</v>
      </c>
      <c r="U371" s="4">
        <f t="shared" si="86"/>
        <v>9900</v>
      </c>
      <c r="W371" s="4">
        <f t="shared" si="84"/>
        <v>825</v>
      </c>
      <c r="Y371" s="4">
        <f t="shared" si="85"/>
        <v>859.375</v>
      </c>
    </row>
    <row r="372" spans="1:25" ht="14.5" hidden="1" customHeight="1" outlineLevel="1" x14ac:dyDescent="0.35">
      <c r="A372" s="39" t="s">
        <v>1119</v>
      </c>
      <c r="B372" s="39" t="s">
        <v>109</v>
      </c>
      <c r="C372" s="39" t="s">
        <v>1120</v>
      </c>
      <c r="D372" s="39" t="s">
        <v>1121</v>
      </c>
      <c r="E372" s="40" t="s">
        <v>51</v>
      </c>
      <c r="F372" s="39" t="s">
        <v>41</v>
      </c>
      <c r="G372" s="39" t="s">
        <v>110</v>
      </c>
      <c r="H372" s="41">
        <v>54</v>
      </c>
      <c r="I372" s="36">
        <f t="shared" si="79"/>
        <v>216000</v>
      </c>
      <c r="J372" s="37">
        <f t="shared" si="77"/>
        <v>2.7</v>
      </c>
      <c r="K372" s="37">
        <f t="shared" si="78"/>
        <v>4.05</v>
      </c>
      <c r="M372" s="37">
        <f t="shared" si="80"/>
        <v>1.6875</v>
      </c>
      <c r="O372" s="4">
        <f t="shared" si="81"/>
        <v>810000</v>
      </c>
      <c r="Q372" s="4">
        <f t="shared" si="82"/>
        <v>67500</v>
      </c>
      <c r="S372" s="4">
        <f t="shared" si="83"/>
        <v>2700</v>
      </c>
      <c r="U372" s="4">
        <f t="shared" si="86"/>
        <v>9720</v>
      </c>
      <c r="W372" s="4">
        <f t="shared" si="84"/>
        <v>810</v>
      </c>
      <c r="Y372" s="4">
        <f t="shared" si="85"/>
        <v>843.75</v>
      </c>
    </row>
    <row r="373" spans="1:25" ht="14.5" hidden="1" customHeight="1" outlineLevel="1" x14ac:dyDescent="0.35">
      <c r="A373" s="39" t="s">
        <v>1122</v>
      </c>
      <c r="B373" s="39" t="s">
        <v>109</v>
      </c>
      <c r="C373" s="39" t="s">
        <v>1123</v>
      </c>
      <c r="D373" s="39" t="s">
        <v>1124</v>
      </c>
      <c r="E373" s="40" t="s">
        <v>186</v>
      </c>
      <c r="F373" s="39" t="s">
        <v>41</v>
      </c>
      <c r="G373" s="39" t="s">
        <v>1125</v>
      </c>
      <c r="H373" s="41">
        <v>52</v>
      </c>
      <c r="I373" s="36">
        <f t="shared" si="79"/>
        <v>208000</v>
      </c>
      <c r="J373" s="37">
        <f t="shared" si="77"/>
        <v>2.6</v>
      </c>
      <c r="K373" s="37">
        <f t="shared" si="78"/>
        <v>3.9</v>
      </c>
      <c r="M373" s="37">
        <f t="shared" si="80"/>
        <v>1.625</v>
      </c>
      <c r="O373" s="4">
        <f t="shared" si="81"/>
        <v>780000</v>
      </c>
      <c r="Q373" s="4">
        <f t="shared" si="82"/>
        <v>65000</v>
      </c>
      <c r="S373" s="4">
        <f t="shared" si="83"/>
        <v>2600</v>
      </c>
      <c r="U373" s="4">
        <f t="shared" si="86"/>
        <v>9360</v>
      </c>
      <c r="W373" s="4">
        <f t="shared" si="84"/>
        <v>780</v>
      </c>
      <c r="Y373" s="4">
        <f t="shared" si="85"/>
        <v>812.5</v>
      </c>
    </row>
    <row r="374" spans="1:25" ht="14.5" hidden="1" customHeight="1" outlineLevel="1" x14ac:dyDescent="0.35">
      <c r="A374" s="39" t="s">
        <v>1126</v>
      </c>
      <c r="B374" s="39" t="s">
        <v>109</v>
      </c>
      <c r="C374" s="39" t="s">
        <v>1127</v>
      </c>
      <c r="D374" s="39" t="s">
        <v>1128</v>
      </c>
      <c r="E374" s="40" t="s">
        <v>1018</v>
      </c>
      <c r="F374" s="39" t="s">
        <v>41</v>
      </c>
      <c r="G374" s="39" t="s">
        <v>110</v>
      </c>
      <c r="H374" s="41">
        <v>52</v>
      </c>
      <c r="I374" s="36">
        <f t="shared" si="79"/>
        <v>208000</v>
      </c>
      <c r="J374" s="37">
        <f t="shared" si="77"/>
        <v>2.6</v>
      </c>
      <c r="K374" s="37">
        <f t="shared" si="78"/>
        <v>3.9</v>
      </c>
      <c r="M374" s="37">
        <f t="shared" si="80"/>
        <v>1.625</v>
      </c>
      <c r="O374" s="4">
        <f t="shared" si="81"/>
        <v>780000</v>
      </c>
      <c r="Q374" s="4">
        <f t="shared" si="82"/>
        <v>65000</v>
      </c>
      <c r="S374" s="4">
        <f t="shared" si="83"/>
        <v>2600</v>
      </c>
      <c r="U374" s="4">
        <f t="shared" si="86"/>
        <v>9360</v>
      </c>
      <c r="W374" s="4">
        <f t="shared" si="84"/>
        <v>780</v>
      </c>
      <c r="Y374" s="4">
        <f t="shared" si="85"/>
        <v>812.5</v>
      </c>
    </row>
    <row r="375" spans="1:25" ht="14.5" hidden="1" customHeight="1" outlineLevel="1" x14ac:dyDescent="0.35">
      <c r="A375" s="39" t="s">
        <v>1129</v>
      </c>
      <c r="B375" s="39" t="s">
        <v>109</v>
      </c>
      <c r="C375" s="39" t="s">
        <v>1130</v>
      </c>
      <c r="D375" s="39" t="s">
        <v>1131</v>
      </c>
      <c r="E375" s="40" t="s">
        <v>538</v>
      </c>
      <c r="F375" s="39" t="s">
        <v>41</v>
      </c>
      <c r="G375" s="39" t="s">
        <v>1132</v>
      </c>
      <c r="H375" s="41">
        <v>52</v>
      </c>
      <c r="I375" s="36">
        <f t="shared" si="79"/>
        <v>208000</v>
      </c>
      <c r="J375" s="37">
        <f t="shared" si="77"/>
        <v>2.6</v>
      </c>
      <c r="K375" s="37">
        <f t="shared" si="78"/>
        <v>3.9</v>
      </c>
      <c r="M375" s="37">
        <f t="shared" si="80"/>
        <v>1.625</v>
      </c>
      <c r="O375" s="4">
        <f t="shared" si="81"/>
        <v>780000</v>
      </c>
      <c r="Q375" s="4">
        <f t="shared" si="82"/>
        <v>65000</v>
      </c>
      <c r="S375" s="4">
        <f t="shared" si="83"/>
        <v>2600</v>
      </c>
      <c r="U375" s="4">
        <f t="shared" si="86"/>
        <v>9360</v>
      </c>
      <c r="W375" s="4">
        <f t="shared" si="84"/>
        <v>780</v>
      </c>
      <c r="Y375" s="4">
        <f t="shared" si="85"/>
        <v>812.5</v>
      </c>
    </row>
    <row r="376" spans="1:25" ht="14.5" hidden="1" customHeight="1" outlineLevel="1" x14ac:dyDescent="0.35">
      <c r="A376" s="39" t="s">
        <v>1133</v>
      </c>
      <c r="B376" s="39" t="s">
        <v>109</v>
      </c>
      <c r="C376" s="39" t="s">
        <v>109</v>
      </c>
      <c r="D376" s="39" t="s">
        <v>1134</v>
      </c>
      <c r="E376" s="40" t="s">
        <v>114</v>
      </c>
      <c r="F376" s="39" t="s">
        <v>41</v>
      </c>
      <c r="G376" s="39" t="s">
        <v>1135</v>
      </c>
      <c r="H376" s="41">
        <v>51</v>
      </c>
      <c r="I376" s="36">
        <f t="shared" si="79"/>
        <v>204000</v>
      </c>
      <c r="J376" s="37">
        <f t="shared" si="77"/>
        <v>2.5500000000000003</v>
      </c>
      <c r="K376" s="37">
        <f t="shared" si="78"/>
        <v>3.8249999999999997</v>
      </c>
      <c r="M376" s="37">
        <f t="shared" si="80"/>
        <v>1.59375</v>
      </c>
      <c r="O376" s="4">
        <f t="shared" si="81"/>
        <v>765000</v>
      </c>
      <c r="Q376" s="4">
        <f t="shared" si="82"/>
        <v>63750</v>
      </c>
      <c r="S376" s="4">
        <f t="shared" si="83"/>
        <v>2550</v>
      </c>
      <c r="U376" s="4">
        <f t="shared" si="86"/>
        <v>9180</v>
      </c>
      <c r="W376" s="4">
        <f t="shared" si="84"/>
        <v>765</v>
      </c>
      <c r="Y376" s="4">
        <f t="shared" si="85"/>
        <v>796.875</v>
      </c>
    </row>
    <row r="377" spans="1:25" ht="14.5" hidden="1" customHeight="1" outlineLevel="1" x14ac:dyDescent="0.35">
      <c r="A377" s="39" t="s">
        <v>1136</v>
      </c>
      <c r="B377" s="39" t="s">
        <v>109</v>
      </c>
      <c r="C377" s="39" t="s">
        <v>109</v>
      </c>
      <c r="D377" s="39" t="s">
        <v>1137</v>
      </c>
      <c r="E377" s="40" t="s">
        <v>367</v>
      </c>
      <c r="F377" s="39" t="s">
        <v>41</v>
      </c>
      <c r="G377" s="39" t="s">
        <v>110</v>
      </c>
      <c r="H377" s="41">
        <v>50</v>
      </c>
      <c r="I377" s="36">
        <f t="shared" si="79"/>
        <v>200000</v>
      </c>
      <c r="J377" s="37">
        <f t="shared" si="77"/>
        <v>2.5</v>
      </c>
      <c r="K377" s="37">
        <f t="shared" si="78"/>
        <v>3.75</v>
      </c>
      <c r="M377" s="37">
        <f t="shared" si="80"/>
        <v>1.5625</v>
      </c>
      <c r="O377" s="4">
        <f t="shared" si="81"/>
        <v>750000</v>
      </c>
      <c r="Q377" s="4">
        <f t="shared" si="82"/>
        <v>62500</v>
      </c>
      <c r="S377" s="4">
        <f t="shared" si="83"/>
        <v>2500</v>
      </c>
      <c r="U377" s="4">
        <f t="shared" si="86"/>
        <v>9000</v>
      </c>
      <c r="W377" s="4">
        <f t="shared" si="84"/>
        <v>750</v>
      </c>
      <c r="Y377" s="4">
        <f t="shared" si="85"/>
        <v>781.25</v>
      </c>
    </row>
    <row r="378" spans="1:25" ht="14.5" hidden="1" customHeight="1" outlineLevel="1" x14ac:dyDescent="0.35">
      <c r="A378" s="39" t="s">
        <v>1138</v>
      </c>
      <c r="B378" s="39" t="s">
        <v>109</v>
      </c>
      <c r="C378" s="39" t="s">
        <v>1139</v>
      </c>
      <c r="D378" s="39" t="s">
        <v>1140</v>
      </c>
      <c r="E378" s="40" t="s">
        <v>784</v>
      </c>
      <c r="F378" s="39" t="s">
        <v>41</v>
      </c>
      <c r="G378" s="39" t="s">
        <v>1141</v>
      </c>
      <c r="H378" s="41">
        <v>50</v>
      </c>
      <c r="I378" s="36">
        <f t="shared" si="79"/>
        <v>200000</v>
      </c>
      <c r="J378" s="37">
        <f t="shared" si="77"/>
        <v>2.5</v>
      </c>
      <c r="K378" s="37">
        <f t="shared" si="78"/>
        <v>3.75</v>
      </c>
      <c r="M378" s="37">
        <f t="shared" si="80"/>
        <v>1.5625</v>
      </c>
      <c r="O378" s="4">
        <f t="shared" si="81"/>
        <v>750000</v>
      </c>
      <c r="Q378" s="4">
        <f t="shared" si="82"/>
        <v>62500</v>
      </c>
      <c r="S378" s="4">
        <f t="shared" si="83"/>
        <v>2500</v>
      </c>
      <c r="U378" s="4">
        <f t="shared" si="86"/>
        <v>9000</v>
      </c>
      <c r="W378" s="4">
        <f t="shared" si="84"/>
        <v>750</v>
      </c>
      <c r="Y378" s="4">
        <f t="shared" si="85"/>
        <v>781.25</v>
      </c>
    </row>
    <row r="379" spans="1:25" ht="14.5" hidden="1" customHeight="1" outlineLevel="1" x14ac:dyDescent="0.35">
      <c r="A379" s="39" t="s">
        <v>1142</v>
      </c>
      <c r="B379" s="39" t="s">
        <v>109</v>
      </c>
      <c r="C379" s="39" t="s">
        <v>1143</v>
      </c>
      <c r="D379" s="39" t="s">
        <v>1144</v>
      </c>
      <c r="E379" s="40" t="s">
        <v>66</v>
      </c>
      <c r="F379" s="39" t="s">
        <v>41</v>
      </c>
      <c r="G379" s="39" t="s">
        <v>110</v>
      </c>
      <c r="H379" s="41">
        <v>50</v>
      </c>
      <c r="I379" s="36">
        <f t="shared" si="79"/>
        <v>200000</v>
      </c>
      <c r="J379" s="37">
        <f t="shared" si="77"/>
        <v>2.5</v>
      </c>
      <c r="K379" s="37">
        <f t="shared" si="78"/>
        <v>3.75</v>
      </c>
      <c r="M379" s="37">
        <f t="shared" si="80"/>
        <v>1.5625</v>
      </c>
      <c r="O379" s="4">
        <f t="shared" si="81"/>
        <v>750000</v>
      </c>
      <c r="Q379" s="4">
        <f t="shared" si="82"/>
        <v>62500</v>
      </c>
      <c r="S379" s="4">
        <f t="shared" si="83"/>
        <v>2500</v>
      </c>
      <c r="U379" s="4">
        <f t="shared" si="86"/>
        <v>9000</v>
      </c>
      <c r="W379" s="4">
        <f t="shared" si="84"/>
        <v>750</v>
      </c>
      <c r="Y379" s="4">
        <f t="shared" si="85"/>
        <v>781.25</v>
      </c>
    </row>
    <row r="380" spans="1:25" ht="14.5" hidden="1" customHeight="1" outlineLevel="1" x14ac:dyDescent="0.35">
      <c r="A380" s="39" t="s">
        <v>1145</v>
      </c>
      <c r="B380" s="39" t="s">
        <v>109</v>
      </c>
      <c r="C380" s="39" t="s">
        <v>109</v>
      </c>
      <c r="D380" s="39" t="s">
        <v>1146</v>
      </c>
      <c r="E380" s="40" t="s">
        <v>138</v>
      </c>
      <c r="F380" s="39" t="s">
        <v>41</v>
      </c>
      <c r="G380" s="39" t="s">
        <v>110</v>
      </c>
      <c r="H380" s="41">
        <v>50</v>
      </c>
      <c r="I380" s="36">
        <f t="shared" si="79"/>
        <v>200000</v>
      </c>
      <c r="J380" s="37">
        <f t="shared" si="77"/>
        <v>2.5</v>
      </c>
      <c r="K380" s="37">
        <f t="shared" si="78"/>
        <v>3.75</v>
      </c>
      <c r="M380" s="37">
        <f t="shared" si="80"/>
        <v>1.5625</v>
      </c>
      <c r="O380" s="4">
        <f t="shared" si="81"/>
        <v>750000</v>
      </c>
      <c r="Q380" s="4">
        <f t="shared" si="82"/>
        <v>62500</v>
      </c>
      <c r="S380" s="4">
        <f t="shared" si="83"/>
        <v>2500</v>
      </c>
      <c r="U380" s="4">
        <f t="shared" si="86"/>
        <v>9000</v>
      </c>
      <c r="W380" s="4">
        <f t="shared" si="84"/>
        <v>750</v>
      </c>
      <c r="Y380" s="4">
        <f t="shared" si="85"/>
        <v>781.25</v>
      </c>
    </row>
    <row r="381" spans="1:25" ht="14.5" hidden="1" customHeight="1" outlineLevel="1" x14ac:dyDescent="0.35">
      <c r="A381" s="39" t="s">
        <v>1147</v>
      </c>
      <c r="B381" s="39" t="s">
        <v>109</v>
      </c>
      <c r="C381" s="39" t="s">
        <v>109</v>
      </c>
      <c r="D381" s="39" t="s">
        <v>1148</v>
      </c>
      <c r="E381" s="40" t="s">
        <v>51</v>
      </c>
      <c r="F381" s="39" t="s">
        <v>41</v>
      </c>
      <c r="G381" s="39" t="s">
        <v>1149</v>
      </c>
      <c r="H381" s="41">
        <v>50</v>
      </c>
      <c r="I381" s="36">
        <f t="shared" si="79"/>
        <v>200000</v>
      </c>
      <c r="J381" s="37">
        <f t="shared" si="77"/>
        <v>2.5</v>
      </c>
      <c r="K381" s="37">
        <f t="shared" si="78"/>
        <v>3.75</v>
      </c>
      <c r="M381" s="37">
        <f t="shared" si="80"/>
        <v>1.5625</v>
      </c>
      <c r="O381" s="4">
        <f t="shared" si="81"/>
        <v>750000</v>
      </c>
      <c r="Q381" s="4">
        <f t="shared" si="82"/>
        <v>62500</v>
      </c>
      <c r="S381" s="4">
        <f t="shared" si="83"/>
        <v>2500</v>
      </c>
      <c r="U381" s="4">
        <f t="shared" si="86"/>
        <v>9000</v>
      </c>
      <c r="W381" s="4">
        <f t="shared" si="84"/>
        <v>750</v>
      </c>
      <c r="Y381" s="4">
        <f t="shared" si="85"/>
        <v>781.25</v>
      </c>
    </row>
    <row r="382" spans="1:25" ht="14.5" hidden="1" customHeight="1" outlineLevel="1" x14ac:dyDescent="0.35">
      <c r="A382" s="39" t="s">
        <v>1150</v>
      </c>
      <c r="B382" s="39" t="s">
        <v>109</v>
      </c>
      <c r="C382" s="39" t="s">
        <v>1151</v>
      </c>
      <c r="D382" s="39" t="s">
        <v>1152</v>
      </c>
      <c r="E382" s="40" t="s">
        <v>165</v>
      </c>
      <c r="F382" s="39" t="s">
        <v>41</v>
      </c>
      <c r="G382" s="39" t="s">
        <v>110</v>
      </c>
      <c r="H382" s="41">
        <v>50</v>
      </c>
      <c r="I382" s="36">
        <f t="shared" si="79"/>
        <v>200000</v>
      </c>
      <c r="J382" s="37">
        <f t="shared" si="77"/>
        <v>2.5</v>
      </c>
      <c r="K382" s="37">
        <f t="shared" si="78"/>
        <v>3.75</v>
      </c>
      <c r="M382" s="37">
        <f t="shared" si="80"/>
        <v>1.5625</v>
      </c>
      <c r="O382" s="4">
        <f t="shared" si="81"/>
        <v>750000</v>
      </c>
      <c r="Q382" s="4">
        <f t="shared" si="82"/>
        <v>62500</v>
      </c>
      <c r="S382" s="4">
        <f t="shared" si="83"/>
        <v>2500</v>
      </c>
      <c r="U382" s="4">
        <f t="shared" si="86"/>
        <v>9000</v>
      </c>
      <c r="W382" s="4">
        <f t="shared" si="84"/>
        <v>750</v>
      </c>
      <c r="Y382" s="4">
        <f t="shared" si="85"/>
        <v>781.25</v>
      </c>
    </row>
    <row r="383" spans="1:25" ht="14.5" hidden="1" customHeight="1" outlineLevel="1" x14ac:dyDescent="0.35">
      <c r="A383" s="39" t="s">
        <v>1153</v>
      </c>
      <c r="B383" s="39" t="s">
        <v>109</v>
      </c>
      <c r="C383" s="39" t="s">
        <v>109</v>
      </c>
      <c r="D383" s="39" t="s">
        <v>1112</v>
      </c>
      <c r="E383" s="40" t="s">
        <v>114</v>
      </c>
      <c r="F383" s="39" t="s">
        <v>41</v>
      </c>
      <c r="G383" s="39" t="s">
        <v>110</v>
      </c>
      <c r="H383" s="41">
        <v>50</v>
      </c>
      <c r="I383" s="36">
        <f t="shared" si="79"/>
        <v>200000</v>
      </c>
      <c r="J383" s="37">
        <f t="shared" si="77"/>
        <v>2.5</v>
      </c>
      <c r="K383" s="37">
        <f t="shared" si="78"/>
        <v>3.75</v>
      </c>
      <c r="M383" s="37">
        <f t="shared" si="80"/>
        <v>1.5625</v>
      </c>
      <c r="O383" s="4">
        <f t="shared" si="81"/>
        <v>750000</v>
      </c>
      <c r="Q383" s="4">
        <f t="shared" si="82"/>
        <v>62500</v>
      </c>
      <c r="S383" s="4">
        <f t="shared" si="83"/>
        <v>2500</v>
      </c>
      <c r="U383" s="4">
        <f t="shared" si="86"/>
        <v>9000</v>
      </c>
      <c r="W383" s="4">
        <f t="shared" si="84"/>
        <v>750</v>
      </c>
      <c r="Y383" s="4">
        <f t="shared" si="85"/>
        <v>781.25</v>
      </c>
    </row>
    <row r="384" spans="1:25" ht="14.5" hidden="1" customHeight="1" outlineLevel="1" x14ac:dyDescent="0.35">
      <c r="A384" s="39" t="s">
        <v>1154</v>
      </c>
      <c r="B384" s="39" t="s">
        <v>1155</v>
      </c>
      <c r="C384" s="39" t="s">
        <v>1156</v>
      </c>
      <c r="D384" s="39" t="s">
        <v>1157</v>
      </c>
      <c r="E384" s="40" t="s">
        <v>165</v>
      </c>
      <c r="F384" s="39" t="s">
        <v>41</v>
      </c>
      <c r="G384" s="39" t="s">
        <v>1158</v>
      </c>
      <c r="H384" s="41">
        <v>50</v>
      </c>
      <c r="I384" s="36">
        <f t="shared" si="79"/>
        <v>200000</v>
      </c>
      <c r="J384" s="37">
        <f t="shared" si="77"/>
        <v>2.5</v>
      </c>
      <c r="K384" s="37">
        <f t="shared" si="78"/>
        <v>3.75</v>
      </c>
      <c r="M384" s="37">
        <f t="shared" si="80"/>
        <v>1.5625</v>
      </c>
      <c r="O384" s="4">
        <f t="shared" si="81"/>
        <v>750000</v>
      </c>
      <c r="Q384" s="4">
        <f t="shared" si="82"/>
        <v>62500</v>
      </c>
      <c r="S384" s="4">
        <f t="shared" si="83"/>
        <v>2500</v>
      </c>
      <c r="U384" s="4">
        <f t="shared" si="86"/>
        <v>9000</v>
      </c>
      <c r="W384" s="4">
        <f t="shared" si="84"/>
        <v>750</v>
      </c>
      <c r="Y384" s="4">
        <f t="shared" si="85"/>
        <v>781.25</v>
      </c>
    </row>
    <row r="385" spans="1:25" ht="14.5" hidden="1" customHeight="1" outlineLevel="1" x14ac:dyDescent="0.35">
      <c r="A385" s="39" t="s">
        <v>1159</v>
      </c>
      <c r="B385" s="39" t="s">
        <v>109</v>
      </c>
      <c r="C385" s="39" t="s">
        <v>1160</v>
      </c>
      <c r="D385" s="39" t="s">
        <v>1161</v>
      </c>
      <c r="E385" s="40" t="s">
        <v>230</v>
      </c>
      <c r="F385" s="39" t="s">
        <v>41</v>
      </c>
      <c r="G385" s="39" t="s">
        <v>1162</v>
      </c>
      <c r="H385" s="41">
        <v>48</v>
      </c>
      <c r="I385" s="36">
        <f t="shared" si="79"/>
        <v>192000</v>
      </c>
      <c r="J385" s="37">
        <f t="shared" si="77"/>
        <v>2.4000000000000004</v>
      </c>
      <c r="K385" s="37">
        <f t="shared" si="78"/>
        <v>3.5999999999999996</v>
      </c>
      <c r="M385" s="37">
        <f t="shared" si="80"/>
        <v>1.5</v>
      </c>
      <c r="O385" s="4">
        <f t="shared" si="81"/>
        <v>720000</v>
      </c>
      <c r="Q385" s="4">
        <f t="shared" si="82"/>
        <v>60000</v>
      </c>
      <c r="S385" s="4">
        <f t="shared" si="83"/>
        <v>2400</v>
      </c>
      <c r="U385" s="4">
        <f t="shared" si="86"/>
        <v>8640</v>
      </c>
      <c r="W385" s="4">
        <f t="shared" si="84"/>
        <v>720</v>
      </c>
      <c r="Y385" s="4">
        <f t="shared" si="85"/>
        <v>750</v>
      </c>
    </row>
    <row r="386" spans="1:25" ht="14.5" hidden="1" customHeight="1" outlineLevel="1" x14ac:dyDescent="0.35">
      <c r="A386" s="39" t="s">
        <v>1163</v>
      </c>
      <c r="B386" s="39" t="s">
        <v>109</v>
      </c>
      <c r="C386" s="39" t="s">
        <v>1164</v>
      </c>
      <c r="D386" s="39" t="s">
        <v>1165</v>
      </c>
      <c r="E386" s="40" t="s">
        <v>1166</v>
      </c>
      <c r="F386" s="39" t="s">
        <v>41</v>
      </c>
      <c r="G386" s="39" t="s">
        <v>110</v>
      </c>
      <c r="H386" s="41">
        <v>48</v>
      </c>
      <c r="I386" s="36">
        <f t="shared" si="79"/>
        <v>192000</v>
      </c>
      <c r="J386" s="37">
        <f t="shared" si="77"/>
        <v>2.4000000000000004</v>
      </c>
      <c r="K386" s="37">
        <f t="shared" si="78"/>
        <v>3.5999999999999996</v>
      </c>
      <c r="M386" s="37">
        <f t="shared" si="80"/>
        <v>1.5</v>
      </c>
      <c r="O386" s="4">
        <f t="shared" si="81"/>
        <v>720000</v>
      </c>
      <c r="Q386" s="4">
        <f t="shared" si="82"/>
        <v>60000</v>
      </c>
      <c r="S386" s="4">
        <f t="shared" si="83"/>
        <v>2400</v>
      </c>
      <c r="U386" s="4">
        <f t="shared" si="86"/>
        <v>8640</v>
      </c>
      <c r="W386" s="4">
        <f t="shared" si="84"/>
        <v>720</v>
      </c>
      <c r="Y386" s="4">
        <f t="shared" si="85"/>
        <v>750</v>
      </c>
    </row>
    <row r="387" spans="1:25" ht="14.5" hidden="1" customHeight="1" outlineLevel="1" x14ac:dyDescent="0.35">
      <c r="A387" s="39" t="s">
        <v>1167</v>
      </c>
      <c r="B387" s="39" t="s">
        <v>109</v>
      </c>
      <c r="C387" s="39" t="s">
        <v>109</v>
      </c>
      <c r="D387" s="39" t="s">
        <v>1168</v>
      </c>
      <c r="E387" s="40" t="s">
        <v>126</v>
      </c>
      <c r="F387" s="39" t="s">
        <v>41</v>
      </c>
      <c r="G387" s="39" t="s">
        <v>1169</v>
      </c>
      <c r="H387" s="41">
        <v>48</v>
      </c>
      <c r="I387" s="36">
        <f t="shared" si="79"/>
        <v>192000</v>
      </c>
      <c r="J387" s="37">
        <f t="shared" si="77"/>
        <v>2.4000000000000004</v>
      </c>
      <c r="K387" s="37">
        <f t="shared" si="78"/>
        <v>3.5999999999999996</v>
      </c>
      <c r="M387" s="37">
        <f t="shared" si="80"/>
        <v>1.5</v>
      </c>
      <c r="O387" s="4">
        <f t="shared" si="81"/>
        <v>720000</v>
      </c>
      <c r="Q387" s="4">
        <f t="shared" si="82"/>
        <v>60000</v>
      </c>
      <c r="S387" s="4">
        <f t="shared" si="83"/>
        <v>2400</v>
      </c>
      <c r="U387" s="4">
        <f t="shared" si="86"/>
        <v>8640</v>
      </c>
      <c r="W387" s="4">
        <f t="shared" si="84"/>
        <v>720</v>
      </c>
      <c r="Y387" s="4">
        <f t="shared" si="85"/>
        <v>750</v>
      </c>
    </row>
    <row r="388" spans="1:25" ht="14.5" hidden="1" customHeight="1" outlineLevel="1" x14ac:dyDescent="0.35">
      <c r="A388" s="39" t="s">
        <v>1170</v>
      </c>
      <c r="B388" s="39" t="s">
        <v>109</v>
      </c>
      <c r="C388" s="39" t="s">
        <v>109</v>
      </c>
      <c r="D388" s="39" t="s">
        <v>1171</v>
      </c>
      <c r="E388" s="40" t="s">
        <v>441</v>
      </c>
      <c r="F388" s="39" t="s">
        <v>101</v>
      </c>
      <c r="G388" s="39" t="s">
        <v>110</v>
      </c>
      <c r="H388" s="41">
        <v>46</v>
      </c>
      <c r="I388" s="36">
        <f t="shared" si="79"/>
        <v>184000</v>
      </c>
      <c r="J388" s="37">
        <f t="shared" si="77"/>
        <v>2.3000000000000003</v>
      </c>
      <c r="K388" s="37">
        <f t="shared" si="78"/>
        <v>3.4499999999999997</v>
      </c>
      <c r="M388" s="37">
        <f t="shared" si="80"/>
        <v>1.4375</v>
      </c>
      <c r="O388" s="4">
        <f t="shared" si="81"/>
        <v>690000</v>
      </c>
      <c r="Q388" s="4">
        <f t="shared" si="82"/>
        <v>57500</v>
      </c>
      <c r="S388" s="4">
        <f t="shared" si="83"/>
        <v>2300</v>
      </c>
      <c r="U388" s="4">
        <f t="shared" si="86"/>
        <v>8280</v>
      </c>
      <c r="W388" s="4">
        <f t="shared" si="84"/>
        <v>690</v>
      </c>
      <c r="Y388" s="4">
        <f t="shared" si="85"/>
        <v>718.75</v>
      </c>
    </row>
    <row r="389" spans="1:25" ht="14.5" hidden="1" customHeight="1" outlineLevel="1" x14ac:dyDescent="0.35">
      <c r="A389" s="39" t="s">
        <v>1172</v>
      </c>
      <c r="B389" s="39" t="s">
        <v>109</v>
      </c>
      <c r="C389" s="39" t="s">
        <v>109</v>
      </c>
      <c r="D389" s="39" t="s">
        <v>1173</v>
      </c>
      <c r="E389" s="40" t="s">
        <v>126</v>
      </c>
      <c r="F389" s="39" t="s">
        <v>41</v>
      </c>
      <c r="G389" s="39" t="s">
        <v>110</v>
      </c>
      <c r="H389" s="41">
        <v>46</v>
      </c>
      <c r="I389" s="36">
        <f t="shared" si="79"/>
        <v>184000</v>
      </c>
      <c r="J389" s="37">
        <f t="shared" si="77"/>
        <v>2.3000000000000003</v>
      </c>
      <c r="K389" s="37">
        <f t="shared" si="78"/>
        <v>3.4499999999999997</v>
      </c>
      <c r="M389" s="37">
        <f t="shared" si="80"/>
        <v>1.4375</v>
      </c>
      <c r="O389" s="4">
        <f t="shared" si="81"/>
        <v>690000</v>
      </c>
      <c r="Q389" s="4">
        <f t="shared" si="82"/>
        <v>57500</v>
      </c>
      <c r="S389" s="4">
        <f t="shared" si="83"/>
        <v>2300</v>
      </c>
      <c r="U389" s="4">
        <f t="shared" si="86"/>
        <v>8280</v>
      </c>
      <c r="W389" s="4">
        <f t="shared" si="84"/>
        <v>690</v>
      </c>
      <c r="Y389" s="4">
        <f t="shared" si="85"/>
        <v>718.75</v>
      </c>
    </row>
    <row r="390" spans="1:25" ht="14.5" hidden="1" customHeight="1" outlineLevel="1" x14ac:dyDescent="0.35">
      <c r="A390" s="39" t="s">
        <v>1174</v>
      </c>
      <c r="B390" s="39" t="s">
        <v>109</v>
      </c>
      <c r="C390" s="39" t="s">
        <v>109</v>
      </c>
      <c r="D390" s="39" t="s">
        <v>1013</v>
      </c>
      <c r="E390" s="40" t="s">
        <v>191</v>
      </c>
      <c r="F390" s="39" t="s">
        <v>41</v>
      </c>
      <c r="G390" s="39" t="s">
        <v>1175</v>
      </c>
      <c r="H390" s="41">
        <v>46</v>
      </c>
      <c r="I390" s="36">
        <f t="shared" si="79"/>
        <v>184000</v>
      </c>
      <c r="J390" s="37">
        <f t="shared" si="77"/>
        <v>2.3000000000000003</v>
      </c>
      <c r="K390" s="37">
        <f t="shared" si="78"/>
        <v>3.4499999999999997</v>
      </c>
      <c r="M390" s="37">
        <f t="shared" si="80"/>
        <v>1.4375</v>
      </c>
      <c r="O390" s="4">
        <f t="shared" si="81"/>
        <v>690000</v>
      </c>
      <c r="Q390" s="4">
        <f t="shared" si="82"/>
        <v>57500</v>
      </c>
      <c r="S390" s="4">
        <f t="shared" si="83"/>
        <v>2300</v>
      </c>
      <c r="U390" s="4">
        <f t="shared" si="86"/>
        <v>8280</v>
      </c>
      <c r="W390" s="4">
        <f t="shared" si="84"/>
        <v>690</v>
      </c>
      <c r="Y390" s="4">
        <f t="shared" si="85"/>
        <v>718.75</v>
      </c>
    </row>
    <row r="391" spans="1:25" ht="14.5" hidden="1" customHeight="1" outlineLevel="1" x14ac:dyDescent="0.35">
      <c r="A391" s="39" t="s">
        <v>1176</v>
      </c>
      <c r="B391" s="39" t="s">
        <v>109</v>
      </c>
      <c r="C391" s="39" t="s">
        <v>1177</v>
      </c>
      <c r="D391" s="39" t="s">
        <v>1178</v>
      </c>
      <c r="E391" s="40" t="s">
        <v>226</v>
      </c>
      <c r="F391" s="39" t="s">
        <v>41</v>
      </c>
      <c r="G391" s="39" t="s">
        <v>110</v>
      </c>
      <c r="H391" s="41">
        <v>46</v>
      </c>
      <c r="I391" s="36">
        <f t="shared" si="79"/>
        <v>184000</v>
      </c>
      <c r="J391" s="37">
        <f t="shared" si="77"/>
        <v>2.3000000000000003</v>
      </c>
      <c r="K391" s="37">
        <f t="shared" si="78"/>
        <v>3.4499999999999997</v>
      </c>
      <c r="M391" s="37">
        <f t="shared" si="80"/>
        <v>1.4375</v>
      </c>
      <c r="O391" s="4">
        <f t="shared" si="81"/>
        <v>690000</v>
      </c>
      <c r="Q391" s="4">
        <f t="shared" si="82"/>
        <v>57500</v>
      </c>
      <c r="S391" s="4">
        <f t="shared" si="83"/>
        <v>2300</v>
      </c>
      <c r="U391" s="4">
        <f t="shared" si="86"/>
        <v>8280</v>
      </c>
      <c r="W391" s="4">
        <f t="shared" si="84"/>
        <v>690</v>
      </c>
      <c r="Y391" s="4">
        <f t="shared" si="85"/>
        <v>718.75</v>
      </c>
    </row>
    <row r="392" spans="1:25" ht="14.5" hidden="1" customHeight="1" outlineLevel="1" x14ac:dyDescent="0.35">
      <c r="A392" s="39" t="s">
        <v>1179</v>
      </c>
      <c r="B392" s="39" t="s">
        <v>109</v>
      </c>
      <c r="C392" s="39" t="s">
        <v>109</v>
      </c>
      <c r="D392" s="39" t="s">
        <v>1180</v>
      </c>
      <c r="E392" s="40" t="s">
        <v>191</v>
      </c>
      <c r="F392" s="39" t="s">
        <v>41</v>
      </c>
      <c r="G392" s="39" t="s">
        <v>110</v>
      </c>
      <c r="H392" s="41">
        <v>46</v>
      </c>
      <c r="I392" s="36">
        <f t="shared" si="79"/>
        <v>184000</v>
      </c>
      <c r="J392" s="37">
        <f t="shared" si="77"/>
        <v>2.3000000000000003</v>
      </c>
      <c r="K392" s="37">
        <f t="shared" si="78"/>
        <v>3.4499999999999997</v>
      </c>
      <c r="M392" s="37">
        <f t="shared" si="80"/>
        <v>1.4375</v>
      </c>
      <c r="O392" s="4">
        <f t="shared" si="81"/>
        <v>690000</v>
      </c>
      <c r="Q392" s="4">
        <f t="shared" si="82"/>
        <v>57500</v>
      </c>
      <c r="S392" s="4">
        <f t="shared" si="83"/>
        <v>2300</v>
      </c>
      <c r="U392" s="4">
        <f t="shared" si="86"/>
        <v>8280</v>
      </c>
      <c r="W392" s="4">
        <f t="shared" si="84"/>
        <v>690</v>
      </c>
      <c r="Y392" s="4">
        <f t="shared" si="85"/>
        <v>718.75</v>
      </c>
    </row>
    <row r="393" spans="1:25" ht="14.5" hidden="1" customHeight="1" outlineLevel="1" x14ac:dyDescent="0.35">
      <c r="A393" s="39" t="s">
        <v>1181</v>
      </c>
      <c r="B393" s="39" t="s">
        <v>959</v>
      </c>
      <c r="C393" s="39" t="s">
        <v>109</v>
      </c>
      <c r="D393" s="39" t="s">
        <v>1182</v>
      </c>
      <c r="E393" s="40" t="s">
        <v>230</v>
      </c>
      <c r="F393" s="39" t="s">
        <v>41</v>
      </c>
      <c r="G393" s="39" t="s">
        <v>110</v>
      </c>
      <c r="H393" s="41">
        <v>46</v>
      </c>
      <c r="I393" s="36">
        <f t="shared" si="79"/>
        <v>184000</v>
      </c>
      <c r="J393" s="37">
        <f t="shared" si="77"/>
        <v>2.3000000000000003</v>
      </c>
      <c r="K393" s="37">
        <f t="shared" si="78"/>
        <v>3.4499999999999997</v>
      </c>
      <c r="M393" s="37">
        <f t="shared" si="80"/>
        <v>1.4375</v>
      </c>
      <c r="O393" s="4">
        <f t="shared" si="81"/>
        <v>690000</v>
      </c>
      <c r="Q393" s="4">
        <f t="shared" si="82"/>
        <v>57500</v>
      </c>
      <c r="S393" s="4">
        <f t="shared" si="83"/>
        <v>2300</v>
      </c>
      <c r="U393" s="4">
        <f t="shared" si="86"/>
        <v>8280</v>
      </c>
      <c r="W393" s="4">
        <f t="shared" si="84"/>
        <v>690</v>
      </c>
      <c r="Y393" s="4">
        <f t="shared" si="85"/>
        <v>718.75</v>
      </c>
    </row>
    <row r="394" spans="1:25" ht="14.5" hidden="1" customHeight="1" outlineLevel="1" x14ac:dyDescent="0.35">
      <c r="A394" s="39" t="s">
        <v>1183</v>
      </c>
      <c r="B394" s="39" t="s">
        <v>109</v>
      </c>
      <c r="C394" s="39" t="s">
        <v>109</v>
      </c>
      <c r="D394" s="39" t="s">
        <v>1184</v>
      </c>
      <c r="E394" s="40" t="s">
        <v>260</v>
      </c>
      <c r="F394" s="39" t="s">
        <v>41</v>
      </c>
      <c r="G394" s="39" t="s">
        <v>110</v>
      </c>
      <c r="H394" s="41">
        <v>45</v>
      </c>
      <c r="I394" s="36">
        <f t="shared" si="79"/>
        <v>180000</v>
      </c>
      <c r="J394" s="37">
        <f t="shared" si="77"/>
        <v>2.25</v>
      </c>
      <c r="K394" s="37">
        <f t="shared" si="78"/>
        <v>3.375</v>
      </c>
      <c r="M394" s="37">
        <f t="shared" si="80"/>
        <v>1.40625</v>
      </c>
      <c r="O394" s="4">
        <f t="shared" si="81"/>
        <v>675000</v>
      </c>
      <c r="Q394" s="4">
        <f t="shared" si="82"/>
        <v>56250</v>
      </c>
      <c r="S394" s="4">
        <f t="shared" si="83"/>
        <v>2250</v>
      </c>
      <c r="U394" s="4">
        <f t="shared" si="86"/>
        <v>8100</v>
      </c>
      <c r="W394" s="4">
        <f t="shared" si="84"/>
        <v>675</v>
      </c>
      <c r="Y394" s="4">
        <f t="shared" si="85"/>
        <v>703.125</v>
      </c>
    </row>
    <row r="395" spans="1:25" ht="14.5" hidden="1" customHeight="1" outlineLevel="1" x14ac:dyDescent="0.35">
      <c r="A395" s="39" t="s">
        <v>1185</v>
      </c>
      <c r="B395" s="39" t="s">
        <v>109</v>
      </c>
      <c r="C395" s="39" t="s">
        <v>1186</v>
      </c>
      <c r="D395" s="39" t="s">
        <v>1187</v>
      </c>
      <c r="E395" s="40" t="s">
        <v>66</v>
      </c>
      <c r="F395" s="39" t="s">
        <v>41</v>
      </c>
      <c r="G395" s="39" t="s">
        <v>1188</v>
      </c>
      <c r="H395" s="41">
        <v>45</v>
      </c>
      <c r="I395" s="36">
        <f t="shared" si="79"/>
        <v>180000</v>
      </c>
      <c r="J395" s="37">
        <f t="shared" si="77"/>
        <v>2.25</v>
      </c>
      <c r="K395" s="37">
        <f t="shared" si="78"/>
        <v>3.375</v>
      </c>
      <c r="M395" s="37">
        <f t="shared" si="80"/>
        <v>1.40625</v>
      </c>
      <c r="O395" s="4">
        <f t="shared" si="81"/>
        <v>675000</v>
      </c>
      <c r="Q395" s="4">
        <f t="shared" si="82"/>
        <v>56250</v>
      </c>
      <c r="S395" s="4">
        <f t="shared" si="83"/>
        <v>2250</v>
      </c>
      <c r="U395" s="4">
        <f t="shared" si="86"/>
        <v>8100</v>
      </c>
      <c r="W395" s="4">
        <f t="shared" si="84"/>
        <v>675</v>
      </c>
      <c r="Y395" s="4">
        <f t="shared" si="85"/>
        <v>703.125</v>
      </c>
    </row>
    <row r="396" spans="1:25" ht="14.5" hidden="1" customHeight="1" outlineLevel="1" x14ac:dyDescent="0.35">
      <c r="A396" s="39" t="s">
        <v>1189</v>
      </c>
      <c r="B396" s="39" t="s">
        <v>109</v>
      </c>
      <c r="C396" s="39" t="s">
        <v>109</v>
      </c>
      <c r="D396" s="39" t="s">
        <v>1190</v>
      </c>
      <c r="E396" s="40" t="s">
        <v>452</v>
      </c>
      <c r="F396" s="39" t="s">
        <v>41</v>
      </c>
      <c r="G396" s="39" t="s">
        <v>1191</v>
      </c>
      <c r="H396" s="41">
        <v>45</v>
      </c>
      <c r="I396" s="36">
        <f t="shared" si="79"/>
        <v>180000</v>
      </c>
      <c r="J396" s="37">
        <f t="shared" si="77"/>
        <v>2.25</v>
      </c>
      <c r="K396" s="37">
        <f t="shared" si="78"/>
        <v>3.375</v>
      </c>
      <c r="M396" s="37">
        <f t="shared" si="80"/>
        <v>1.40625</v>
      </c>
      <c r="O396" s="4">
        <f t="shared" si="81"/>
        <v>675000</v>
      </c>
      <c r="Q396" s="4">
        <f t="shared" si="82"/>
        <v>56250</v>
      </c>
      <c r="S396" s="4">
        <f t="shared" si="83"/>
        <v>2250</v>
      </c>
      <c r="U396" s="4">
        <f t="shared" si="86"/>
        <v>8100</v>
      </c>
      <c r="W396" s="4">
        <f t="shared" si="84"/>
        <v>675</v>
      </c>
      <c r="Y396" s="4">
        <f t="shared" si="85"/>
        <v>703.125</v>
      </c>
    </row>
    <row r="397" spans="1:25" ht="14.5" hidden="1" customHeight="1" outlineLevel="1" x14ac:dyDescent="0.35">
      <c r="A397" s="39" t="s">
        <v>1192</v>
      </c>
      <c r="B397" s="39" t="s">
        <v>109</v>
      </c>
      <c r="C397" s="39" t="s">
        <v>1193</v>
      </c>
      <c r="D397" s="39" t="s">
        <v>1194</v>
      </c>
      <c r="E397" s="40" t="s">
        <v>161</v>
      </c>
      <c r="F397" s="39" t="s">
        <v>101</v>
      </c>
      <c r="G397" s="39" t="s">
        <v>1195</v>
      </c>
      <c r="H397" s="41">
        <v>44</v>
      </c>
      <c r="I397" s="36">
        <f t="shared" si="79"/>
        <v>176000</v>
      </c>
      <c r="J397" s="37">
        <f t="shared" si="77"/>
        <v>2.2000000000000002</v>
      </c>
      <c r="K397" s="37">
        <f t="shared" si="78"/>
        <v>3.3</v>
      </c>
      <c r="M397" s="37">
        <f t="shared" si="80"/>
        <v>1.375</v>
      </c>
      <c r="O397" s="4">
        <f t="shared" si="81"/>
        <v>660000</v>
      </c>
      <c r="Q397" s="4">
        <f t="shared" si="82"/>
        <v>55000</v>
      </c>
      <c r="S397" s="4">
        <f t="shared" si="83"/>
        <v>2200</v>
      </c>
      <c r="U397" s="4">
        <f t="shared" si="86"/>
        <v>7920</v>
      </c>
      <c r="W397" s="4">
        <f t="shared" si="84"/>
        <v>660</v>
      </c>
      <c r="Y397" s="4">
        <f t="shared" si="85"/>
        <v>687.5</v>
      </c>
    </row>
    <row r="398" spans="1:25" ht="14.5" hidden="1" customHeight="1" outlineLevel="1" x14ac:dyDescent="0.35">
      <c r="A398" s="39" t="s">
        <v>1196</v>
      </c>
      <c r="B398" s="39" t="s">
        <v>109</v>
      </c>
      <c r="C398" s="39" t="s">
        <v>1197</v>
      </c>
      <c r="D398" s="39" t="s">
        <v>99</v>
      </c>
      <c r="E398" s="40" t="s">
        <v>100</v>
      </c>
      <c r="F398" s="39" t="s">
        <v>101</v>
      </c>
      <c r="G398" s="39" t="s">
        <v>1198</v>
      </c>
      <c r="H398" s="41">
        <v>44</v>
      </c>
      <c r="I398" s="36">
        <f t="shared" si="79"/>
        <v>176000</v>
      </c>
      <c r="J398" s="37">
        <f t="shared" si="77"/>
        <v>2.2000000000000002</v>
      </c>
      <c r="K398" s="37">
        <f t="shared" si="78"/>
        <v>3.3</v>
      </c>
      <c r="M398" s="37">
        <f t="shared" si="80"/>
        <v>1.375</v>
      </c>
      <c r="O398" s="4">
        <f t="shared" si="81"/>
        <v>660000</v>
      </c>
      <c r="Q398" s="4">
        <f t="shared" si="82"/>
        <v>55000</v>
      </c>
      <c r="S398" s="4">
        <f t="shared" si="83"/>
        <v>2200</v>
      </c>
      <c r="U398" s="4">
        <f t="shared" si="86"/>
        <v>7920</v>
      </c>
      <c r="W398" s="4">
        <f t="shared" si="84"/>
        <v>660</v>
      </c>
      <c r="Y398" s="4">
        <f t="shared" si="85"/>
        <v>687.5</v>
      </c>
    </row>
    <row r="399" spans="1:25" ht="14.5" hidden="1" customHeight="1" outlineLevel="1" x14ac:dyDescent="0.35">
      <c r="A399" s="39" t="s">
        <v>1199</v>
      </c>
      <c r="B399" s="39" t="s">
        <v>109</v>
      </c>
      <c r="C399" s="39" t="s">
        <v>1200</v>
      </c>
      <c r="D399" s="39" t="s">
        <v>1201</v>
      </c>
      <c r="E399" s="40" t="s">
        <v>191</v>
      </c>
      <c r="F399" s="39" t="s">
        <v>41</v>
      </c>
      <c r="G399" s="39" t="s">
        <v>110</v>
      </c>
      <c r="H399" s="41">
        <v>44</v>
      </c>
      <c r="I399" s="36">
        <f t="shared" si="79"/>
        <v>176000</v>
      </c>
      <c r="J399" s="37">
        <f t="shared" si="77"/>
        <v>2.2000000000000002</v>
      </c>
      <c r="K399" s="37">
        <f t="shared" si="78"/>
        <v>3.3</v>
      </c>
      <c r="M399" s="37">
        <f t="shared" si="80"/>
        <v>1.375</v>
      </c>
      <c r="O399" s="4">
        <f t="shared" si="81"/>
        <v>660000</v>
      </c>
      <c r="Q399" s="4">
        <f t="shared" si="82"/>
        <v>55000</v>
      </c>
      <c r="S399" s="4">
        <f t="shared" si="83"/>
        <v>2200</v>
      </c>
      <c r="U399" s="4">
        <f t="shared" si="86"/>
        <v>7920</v>
      </c>
      <c r="W399" s="4">
        <f t="shared" si="84"/>
        <v>660</v>
      </c>
      <c r="Y399" s="4">
        <f t="shared" si="85"/>
        <v>687.5</v>
      </c>
    </row>
    <row r="400" spans="1:25" ht="14.5" hidden="1" customHeight="1" outlineLevel="1" x14ac:dyDescent="0.35">
      <c r="A400" s="39" t="s">
        <v>1202</v>
      </c>
      <c r="B400" s="39" t="s">
        <v>109</v>
      </c>
      <c r="C400" s="39" t="s">
        <v>109</v>
      </c>
      <c r="D400" s="39" t="s">
        <v>1203</v>
      </c>
      <c r="E400" s="40" t="s">
        <v>841</v>
      </c>
      <c r="F400" s="39" t="s">
        <v>101</v>
      </c>
      <c r="G400" s="39" t="s">
        <v>1204</v>
      </c>
      <c r="H400" s="41">
        <v>43</v>
      </c>
      <c r="I400" s="36">
        <f t="shared" si="79"/>
        <v>172000</v>
      </c>
      <c r="J400" s="37">
        <f t="shared" si="77"/>
        <v>2.15</v>
      </c>
      <c r="K400" s="37">
        <f t="shared" si="78"/>
        <v>3.2250000000000001</v>
      </c>
      <c r="M400" s="37">
        <f t="shared" si="80"/>
        <v>1.34375</v>
      </c>
      <c r="O400" s="4">
        <f t="shared" si="81"/>
        <v>645000</v>
      </c>
      <c r="Q400" s="4">
        <f t="shared" si="82"/>
        <v>53750</v>
      </c>
      <c r="S400" s="4">
        <f t="shared" si="83"/>
        <v>2150</v>
      </c>
      <c r="U400" s="4">
        <f t="shared" si="86"/>
        <v>7740</v>
      </c>
      <c r="W400" s="4">
        <f t="shared" si="84"/>
        <v>645</v>
      </c>
      <c r="Y400" s="4">
        <f t="shared" si="85"/>
        <v>671.875</v>
      </c>
    </row>
    <row r="401" spans="1:25" ht="14.5" hidden="1" customHeight="1" outlineLevel="1" x14ac:dyDescent="0.35">
      <c r="A401" s="39" t="s">
        <v>1205</v>
      </c>
      <c r="B401" s="39" t="s">
        <v>109</v>
      </c>
      <c r="C401" s="39" t="s">
        <v>109</v>
      </c>
      <c r="D401" s="39" t="s">
        <v>1206</v>
      </c>
      <c r="E401" s="40" t="s">
        <v>841</v>
      </c>
      <c r="F401" s="39" t="s">
        <v>101</v>
      </c>
      <c r="G401" s="39" t="s">
        <v>1207</v>
      </c>
      <c r="H401" s="41">
        <v>43</v>
      </c>
      <c r="I401" s="36">
        <f t="shared" si="79"/>
        <v>172000</v>
      </c>
      <c r="J401" s="37">
        <f t="shared" si="77"/>
        <v>2.15</v>
      </c>
      <c r="K401" s="37">
        <f t="shared" si="78"/>
        <v>3.2250000000000001</v>
      </c>
      <c r="M401" s="37">
        <f t="shared" si="80"/>
        <v>1.34375</v>
      </c>
      <c r="O401" s="4">
        <f t="shared" si="81"/>
        <v>645000</v>
      </c>
      <c r="Q401" s="4">
        <f t="shared" si="82"/>
        <v>53750</v>
      </c>
      <c r="S401" s="4">
        <f t="shared" si="83"/>
        <v>2150</v>
      </c>
      <c r="U401" s="4">
        <f t="shared" si="86"/>
        <v>7740</v>
      </c>
      <c r="W401" s="4">
        <f t="shared" si="84"/>
        <v>645</v>
      </c>
      <c r="Y401" s="4">
        <f t="shared" si="85"/>
        <v>671.875</v>
      </c>
    </row>
    <row r="402" spans="1:25" ht="14.5" hidden="1" customHeight="1" outlineLevel="1" x14ac:dyDescent="0.35">
      <c r="A402" s="39" t="s">
        <v>1208</v>
      </c>
      <c r="B402" s="39" t="s">
        <v>109</v>
      </c>
      <c r="C402" s="39" t="s">
        <v>1209</v>
      </c>
      <c r="D402" s="39" t="s">
        <v>1210</v>
      </c>
      <c r="E402" s="40" t="s">
        <v>126</v>
      </c>
      <c r="F402" s="39" t="s">
        <v>41</v>
      </c>
      <c r="G402" s="39" t="s">
        <v>110</v>
      </c>
      <c r="H402" s="41">
        <v>43</v>
      </c>
      <c r="I402" s="36">
        <f t="shared" si="79"/>
        <v>172000</v>
      </c>
      <c r="J402" s="37">
        <f t="shared" si="77"/>
        <v>2.15</v>
      </c>
      <c r="K402" s="37">
        <f t="shared" si="78"/>
        <v>3.2250000000000001</v>
      </c>
      <c r="M402" s="37">
        <f t="shared" si="80"/>
        <v>1.34375</v>
      </c>
      <c r="O402" s="4">
        <f t="shared" si="81"/>
        <v>645000</v>
      </c>
      <c r="Q402" s="4">
        <f t="shared" si="82"/>
        <v>53750</v>
      </c>
      <c r="S402" s="4">
        <f t="shared" si="83"/>
        <v>2150</v>
      </c>
      <c r="U402" s="4">
        <f t="shared" si="86"/>
        <v>7740</v>
      </c>
      <c r="W402" s="4">
        <f t="shared" si="84"/>
        <v>645</v>
      </c>
      <c r="Y402" s="4">
        <f t="shared" si="85"/>
        <v>671.875</v>
      </c>
    </row>
    <row r="403" spans="1:25" ht="14.5" hidden="1" customHeight="1" outlineLevel="1" x14ac:dyDescent="0.35">
      <c r="A403" s="39" t="s">
        <v>1211</v>
      </c>
      <c r="B403" s="39" t="s">
        <v>109</v>
      </c>
      <c r="C403" s="39" t="s">
        <v>1212</v>
      </c>
      <c r="D403" s="39" t="s">
        <v>1213</v>
      </c>
      <c r="E403" s="40" t="s">
        <v>302</v>
      </c>
      <c r="F403" s="39" t="s">
        <v>41</v>
      </c>
      <c r="G403" s="39" t="s">
        <v>1214</v>
      </c>
      <c r="H403" s="41">
        <v>43</v>
      </c>
      <c r="I403" s="36">
        <f t="shared" si="79"/>
        <v>172000</v>
      </c>
      <c r="J403" s="37">
        <f t="shared" si="77"/>
        <v>2.15</v>
      </c>
      <c r="K403" s="37">
        <f t="shared" si="78"/>
        <v>3.2250000000000001</v>
      </c>
      <c r="M403" s="37">
        <f t="shared" si="80"/>
        <v>1.34375</v>
      </c>
      <c r="O403" s="4">
        <f t="shared" si="81"/>
        <v>645000</v>
      </c>
      <c r="Q403" s="4">
        <f t="shared" si="82"/>
        <v>53750</v>
      </c>
      <c r="S403" s="4">
        <f t="shared" si="83"/>
        <v>2150</v>
      </c>
      <c r="U403" s="4">
        <f t="shared" si="86"/>
        <v>7740</v>
      </c>
      <c r="W403" s="4">
        <f t="shared" si="84"/>
        <v>645</v>
      </c>
      <c r="Y403" s="4">
        <f t="shared" si="85"/>
        <v>671.875</v>
      </c>
    </row>
    <row r="404" spans="1:25" ht="14.5" hidden="1" customHeight="1" outlineLevel="1" x14ac:dyDescent="0.35">
      <c r="A404" s="39" t="s">
        <v>1215</v>
      </c>
      <c r="B404" s="39" t="s">
        <v>109</v>
      </c>
      <c r="C404" s="39" t="s">
        <v>109</v>
      </c>
      <c r="D404" s="39" t="s">
        <v>1216</v>
      </c>
      <c r="E404" s="40" t="s">
        <v>367</v>
      </c>
      <c r="F404" s="39" t="s">
        <v>41</v>
      </c>
      <c r="G404" s="39" t="s">
        <v>110</v>
      </c>
      <c r="H404" s="41">
        <v>43</v>
      </c>
      <c r="I404" s="36">
        <f t="shared" si="79"/>
        <v>172000</v>
      </c>
      <c r="J404" s="37">
        <f t="shared" si="77"/>
        <v>2.15</v>
      </c>
      <c r="K404" s="37">
        <f t="shared" si="78"/>
        <v>3.2250000000000001</v>
      </c>
      <c r="M404" s="37">
        <f t="shared" si="80"/>
        <v>1.34375</v>
      </c>
      <c r="O404" s="4">
        <f t="shared" si="81"/>
        <v>645000</v>
      </c>
      <c r="Q404" s="4">
        <f t="shared" si="82"/>
        <v>53750</v>
      </c>
      <c r="S404" s="4">
        <f t="shared" si="83"/>
        <v>2150</v>
      </c>
      <c r="U404" s="4">
        <f t="shared" si="86"/>
        <v>7740</v>
      </c>
      <c r="W404" s="4">
        <f t="shared" si="84"/>
        <v>645</v>
      </c>
      <c r="Y404" s="4">
        <f t="shared" si="85"/>
        <v>671.875</v>
      </c>
    </row>
    <row r="405" spans="1:25" ht="14.5" hidden="1" customHeight="1" outlineLevel="1" x14ac:dyDescent="0.35">
      <c r="A405" s="39" t="s">
        <v>1217</v>
      </c>
      <c r="B405" s="39" t="s">
        <v>109</v>
      </c>
      <c r="C405" s="39" t="s">
        <v>1218</v>
      </c>
      <c r="D405" s="39" t="s">
        <v>1219</v>
      </c>
      <c r="E405" s="40" t="s">
        <v>302</v>
      </c>
      <c r="F405" s="39" t="s">
        <v>41</v>
      </c>
      <c r="G405" s="39" t="s">
        <v>1220</v>
      </c>
      <c r="H405" s="41">
        <v>43</v>
      </c>
      <c r="I405" s="36">
        <f t="shared" si="79"/>
        <v>172000</v>
      </c>
      <c r="J405" s="37">
        <f t="shared" si="77"/>
        <v>2.15</v>
      </c>
      <c r="K405" s="37">
        <f t="shared" si="78"/>
        <v>3.2250000000000001</v>
      </c>
      <c r="M405" s="37">
        <f t="shared" si="80"/>
        <v>1.34375</v>
      </c>
      <c r="O405" s="4">
        <f t="shared" si="81"/>
        <v>645000</v>
      </c>
      <c r="Q405" s="4">
        <f t="shared" si="82"/>
        <v>53750</v>
      </c>
      <c r="S405" s="4">
        <f t="shared" si="83"/>
        <v>2150</v>
      </c>
      <c r="U405" s="4">
        <f t="shared" si="86"/>
        <v>7740</v>
      </c>
      <c r="W405" s="4">
        <f t="shared" si="84"/>
        <v>645</v>
      </c>
      <c r="Y405" s="4">
        <f t="shared" si="85"/>
        <v>671.875</v>
      </c>
    </row>
    <row r="406" spans="1:25" ht="14.5" hidden="1" customHeight="1" outlineLevel="1" x14ac:dyDescent="0.35">
      <c r="A406" s="39" t="s">
        <v>1221</v>
      </c>
      <c r="B406" s="39" t="s">
        <v>109</v>
      </c>
      <c r="C406" s="39" t="s">
        <v>109</v>
      </c>
      <c r="D406" s="39" t="s">
        <v>804</v>
      </c>
      <c r="E406" s="40" t="s">
        <v>70</v>
      </c>
      <c r="F406" s="39" t="s">
        <v>41</v>
      </c>
      <c r="G406" s="39" t="s">
        <v>1222</v>
      </c>
      <c r="H406" s="41">
        <v>42</v>
      </c>
      <c r="I406" s="36">
        <f t="shared" si="79"/>
        <v>168000</v>
      </c>
      <c r="J406" s="37">
        <f t="shared" si="77"/>
        <v>2.1</v>
      </c>
      <c r="K406" s="37">
        <f t="shared" si="78"/>
        <v>3.15</v>
      </c>
      <c r="M406" s="37">
        <f t="shared" si="80"/>
        <v>1.3125</v>
      </c>
      <c r="O406" s="4">
        <f t="shared" si="81"/>
        <v>630000</v>
      </c>
      <c r="Q406" s="4">
        <f t="shared" si="82"/>
        <v>52500</v>
      </c>
      <c r="S406" s="4">
        <f t="shared" si="83"/>
        <v>2100</v>
      </c>
      <c r="U406" s="4">
        <f t="shared" si="86"/>
        <v>7560</v>
      </c>
      <c r="W406" s="4">
        <f t="shared" si="84"/>
        <v>630</v>
      </c>
      <c r="Y406" s="4">
        <f t="shared" si="85"/>
        <v>656.25</v>
      </c>
    </row>
    <row r="407" spans="1:25" ht="14.5" hidden="1" customHeight="1" outlineLevel="1" x14ac:dyDescent="0.35">
      <c r="A407" s="39" t="s">
        <v>1223</v>
      </c>
      <c r="B407" s="39" t="s">
        <v>109</v>
      </c>
      <c r="C407" s="39" t="s">
        <v>109</v>
      </c>
      <c r="D407" s="39" t="s">
        <v>366</v>
      </c>
      <c r="E407" s="40" t="s">
        <v>367</v>
      </c>
      <c r="F407" s="39" t="s">
        <v>41</v>
      </c>
      <c r="G407" s="39" t="s">
        <v>1224</v>
      </c>
      <c r="H407" s="41">
        <v>42</v>
      </c>
      <c r="I407" s="36">
        <f t="shared" si="79"/>
        <v>168000</v>
      </c>
      <c r="J407" s="37">
        <f t="shared" si="77"/>
        <v>2.1</v>
      </c>
      <c r="K407" s="37">
        <f t="shared" si="78"/>
        <v>3.15</v>
      </c>
      <c r="M407" s="37">
        <f t="shared" si="80"/>
        <v>1.3125</v>
      </c>
      <c r="O407" s="4">
        <f t="shared" si="81"/>
        <v>630000</v>
      </c>
      <c r="Q407" s="4">
        <f t="shared" si="82"/>
        <v>52500</v>
      </c>
      <c r="S407" s="4">
        <f t="shared" si="83"/>
        <v>2100</v>
      </c>
      <c r="U407" s="4">
        <f t="shared" si="86"/>
        <v>7560</v>
      </c>
      <c r="W407" s="4">
        <f t="shared" si="84"/>
        <v>630</v>
      </c>
      <c r="Y407" s="4">
        <f t="shared" si="85"/>
        <v>656.25</v>
      </c>
    </row>
    <row r="408" spans="1:25" ht="14.5" hidden="1" customHeight="1" outlineLevel="1" x14ac:dyDescent="0.35">
      <c r="A408" s="39" t="s">
        <v>1225</v>
      </c>
      <c r="B408" s="39" t="s">
        <v>109</v>
      </c>
      <c r="C408" s="39" t="s">
        <v>109</v>
      </c>
      <c r="D408" s="39" t="s">
        <v>1226</v>
      </c>
      <c r="E408" s="40" t="s">
        <v>507</v>
      </c>
      <c r="F408" s="39" t="s">
        <v>41</v>
      </c>
      <c r="G408" s="39" t="s">
        <v>1227</v>
      </c>
      <c r="H408" s="41">
        <v>41</v>
      </c>
      <c r="I408" s="36">
        <f t="shared" si="79"/>
        <v>164000</v>
      </c>
      <c r="J408" s="37">
        <f t="shared" si="77"/>
        <v>2.0500000000000003</v>
      </c>
      <c r="K408" s="37">
        <f t="shared" si="78"/>
        <v>3.0749999999999997</v>
      </c>
      <c r="M408" s="37">
        <f t="shared" si="80"/>
        <v>1.28125</v>
      </c>
      <c r="O408" s="4">
        <f t="shared" si="81"/>
        <v>615000</v>
      </c>
      <c r="Q408" s="4">
        <f t="shared" si="82"/>
        <v>51250</v>
      </c>
      <c r="S408" s="4">
        <f t="shared" si="83"/>
        <v>2050</v>
      </c>
      <c r="U408" s="4">
        <f t="shared" si="86"/>
        <v>7380</v>
      </c>
      <c r="W408" s="4">
        <f t="shared" si="84"/>
        <v>615</v>
      </c>
      <c r="Y408" s="4">
        <f t="shared" si="85"/>
        <v>640.625</v>
      </c>
    </row>
    <row r="409" spans="1:25" ht="14.5" hidden="1" customHeight="1" outlineLevel="1" x14ac:dyDescent="0.35">
      <c r="A409" s="39" t="s">
        <v>1228</v>
      </c>
      <c r="B409" s="39" t="s">
        <v>109</v>
      </c>
      <c r="C409" s="39" t="s">
        <v>1229</v>
      </c>
      <c r="D409" s="39" t="s">
        <v>397</v>
      </c>
      <c r="E409" s="40" t="s">
        <v>91</v>
      </c>
      <c r="F409" s="39" t="s">
        <v>41</v>
      </c>
      <c r="G409" s="39" t="s">
        <v>1230</v>
      </c>
      <c r="H409" s="41">
        <v>41</v>
      </c>
      <c r="I409" s="36">
        <f t="shared" si="79"/>
        <v>164000</v>
      </c>
      <c r="J409" s="37">
        <f t="shared" si="77"/>
        <v>2.0500000000000003</v>
      </c>
      <c r="K409" s="37">
        <f t="shared" si="78"/>
        <v>3.0749999999999997</v>
      </c>
      <c r="M409" s="37">
        <f t="shared" si="80"/>
        <v>1.28125</v>
      </c>
      <c r="O409" s="4">
        <f t="shared" si="81"/>
        <v>615000</v>
      </c>
      <c r="Q409" s="4">
        <f t="shared" si="82"/>
        <v>51250</v>
      </c>
      <c r="S409" s="4">
        <f t="shared" si="83"/>
        <v>2050</v>
      </c>
      <c r="U409" s="4">
        <f t="shared" si="86"/>
        <v>7380</v>
      </c>
      <c r="W409" s="4">
        <f t="shared" si="84"/>
        <v>615</v>
      </c>
      <c r="Y409" s="4">
        <f t="shared" si="85"/>
        <v>640.625</v>
      </c>
    </row>
    <row r="410" spans="1:25" ht="14.5" hidden="1" customHeight="1" outlineLevel="1" x14ac:dyDescent="0.35">
      <c r="A410" s="39" t="s">
        <v>1231</v>
      </c>
      <c r="B410" s="39" t="s">
        <v>109</v>
      </c>
      <c r="C410" s="39" t="s">
        <v>109</v>
      </c>
      <c r="D410" s="39" t="s">
        <v>1232</v>
      </c>
      <c r="E410" s="40" t="s">
        <v>251</v>
      </c>
      <c r="F410" s="39" t="s">
        <v>41</v>
      </c>
      <c r="G410" s="39" t="s">
        <v>110</v>
      </c>
      <c r="H410" s="41">
        <v>41</v>
      </c>
      <c r="I410" s="36">
        <f t="shared" si="79"/>
        <v>164000</v>
      </c>
      <c r="J410" s="37">
        <f t="shared" si="77"/>
        <v>2.0500000000000003</v>
      </c>
      <c r="K410" s="37">
        <f t="shared" si="78"/>
        <v>3.0749999999999997</v>
      </c>
      <c r="M410" s="37">
        <f t="shared" si="80"/>
        <v>1.28125</v>
      </c>
      <c r="O410" s="4">
        <f t="shared" si="81"/>
        <v>615000</v>
      </c>
      <c r="Q410" s="4">
        <f t="shared" si="82"/>
        <v>51250</v>
      </c>
      <c r="S410" s="4">
        <f t="shared" si="83"/>
        <v>2050</v>
      </c>
      <c r="U410" s="4">
        <f t="shared" si="86"/>
        <v>7380</v>
      </c>
      <c r="W410" s="4">
        <f t="shared" si="84"/>
        <v>615</v>
      </c>
      <c r="Y410" s="4">
        <f t="shared" si="85"/>
        <v>640.625</v>
      </c>
    </row>
    <row r="411" spans="1:25" ht="14.5" hidden="1" customHeight="1" outlineLevel="1" x14ac:dyDescent="0.35">
      <c r="A411" s="39" t="s">
        <v>1233</v>
      </c>
      <c r="B411" s="39" t="s">
        <v>109</v>
      </c>
      <c r="C411" s="39" t="s">
        <v>109</v>
      </c>
      <c r="D411" s="39" t="s">
        <v>653</v>
      </c>
      <c r="E411" s="40" t="s">
        <v>211</v>
      </c>
      <c r="F411" s="39" t="s">
        <v>41</v>
      </c>
      <c r="G411" s="39" t="s">
        <v>654</v>
      </c>
      <c r="H411" s="41">
        <v>40</v>
      </c>
      <c r="I411" s="36">
        <f t="shared" si="79"/>
        <v>160000</v>
      </c>
      <c r="J411" s="37">
        <f t="shared" si="77"/>
        <v>2</v>
      </c>
      <c r="K411" s="37">
        <f t="shared" si="78"/>
        <v>3</v>
      </c>
      <c r="M411" s="37">
        <f t="shared" si="80"/>
        <v>1.25</v>
      </c>
      <c r="O411" s="4">
        <f t="shared" si="81"/>
        <v>600000</v>
      </c>
      <c r="Q411" s="4">
        <f t="shared" si="82"/>
        <v>50000</v>
      </c>
      <c r="S411" s="4">
        <f t="shared" si="83"/>
        <v>2000</v>
      </c>
      <c r="U411" s="4">
        <f t="shared" si="86"/>
        <v>7200</v>
      </c>
      <c r="W411" s="4">
        <f t="shared" si="84"/>
        <v>600</v>
      </c>
      <c r="Y411" s="4">
        <f t="shared" si="85"/>
        <v>625</v>
      </c>
    </row>
    <row r="412" spans="1:25" ht="14.5" hidden="1" customHeight="1" outlineLevel="1" x14ac:dyDescent="0.35">
      <c r="A412" s="39" t="s">
        <v>1234</v>
      </c>
      <c r="B412" s="39" t="s">
        <v>109</v>
      </c>
      <c r="C412" s="39" t="s">
        <v>109</v>
      </c>
      <c r="D412" s="39" t="s">
        <v>1235</v>
      </c>
      <c r="E412" s="40" t="s">
        <v>165</v>
      </c>
      <c r="F412" s="39" t="s">
        <v>41</v>
      </c>
      <c r="G412" s="39" t="s">
        <v>1236</v>
      </c>
      <c r="H412" s="41">
        <v>40</v>
      </c>
      <c r="I412" s="36">
        <f t="shared" si="79"/>
        <v>160000</v>
      </c>
      <c r="J412" s="37">
        <f t="shared" si="77"/>
        <v>2</v>
      </c>
      <c r="K412" s="37">
        <f t="shared" si="78"/>
        <v>3</v>
      </c>
      <c r="M412" s="37">
        <f t="shared" si="80"/>
        <v>1.25</v>
      </c>
      <c r="O412" s="4">
        <f t="shared" si="81"/>
        <v>600000</v>
      </c>
      <c r="Q412" s="4">
        <f t="shared" si="82"/>
        <v>50000</v>
      </c>
      <c r="S412" s="4">
        <f t="shared" si="83"/>
        <v>2000</v>
      </c>
      <c r="U412" s="4">
        <f t="shared" si="86"/>
        <v>7200</v>
      </c>
      <c r="W412" s="4">
        <f t="shared" si="84"/>
        <v>600</v>
      </c>
      <c r="Y412" s="4">
        <f t="shared" si="85"/>
        <v>625</v>
      </c>
    </row>
    <row r="413" spans="1:25" ht="14.5" hidden="1" customHeight="1" outlineLevel="1" x14ac:dyDescent="0.35">
      <c r="A413" s="39" t="s">
        <v>1237</v>
      </c>
      <c r="B413" s="39" t="s">
        <v>109</v>
      </c>
      <c r="C413" s="39" t="s">
        <v>109</v>
      </c>
      <c r="D413" s="39" t="s">
        <v>1238</v>
      </c>
      <c r="E413" s="40" t="s">
        <v>126</v>
      </c>
      <c r="F413" s="39" t="s">
        <v>41</v>
      </c>
      <c r="G413" s="39" t="s">
        <v>110</v>
      </c>
      <c r="H413" s="41">
        <v>38</v>
      </c>
      <c r="I413" s="36">
        <f t="shared" si="79"/>
        <v>152000</v>
      </c>
      <c r="J413" s="37">
        <f t="shared" si="77"/>
        <v>1.9000000000000001</v>
      </c>
      <c r="K413" s="37">
        <f t="shared" si="78"/>
        <v>2.85</v>
      </c>
      <c r="M413" s="37">
        <f t="shared" si="80"/>
        <v>1.1875</v>
      </c>
      <c r="O413" s="4">
        <f t="shared" si="81"/>
        <v>570000</v>
      </c>
      <c r="Q413" s="4">
        <f t="shared" si="82"/>
        <v>47500</v>
      </c>
      <c r="S413" s="4">
        <f t="shared" si="83"/>
        <v>1900</v>
      </c>
      <c r="U413" s="4">
        <f t="shared" si="86"/>
        <v>6840</v>
      </c>
      <c r="W413" s="4">
        <f t="shared" si="84"/>
        <v>570</v>
      </c>
      <c r="Y413" s="4">
        <f t="shared" si="85"/>
        <v>593.75</v>
      </c>
    </row>
    <row r="414" spans="1:25" ht="14.5" hidden="1" customHeight="1" outlineLevel="1" x14ac:dyDescent="0.35">
      <c r="A414" s="39" t="s">
        <v>1239</v>
      </c>
      <c r="B414" s="39" t="s">
        <v>109</v>
      </c>
      <c r="C414" s="39" t="s">
        <v>109</v>
      </c>
      <c r="D414" s="39" t="s">
        <v>1240</v>
      </c>
      <c r="E414" s="40" t="s">
        <v>46</v>
      </c>
      <c r="F414" s="39" t="s">
        <v>41</v>
      </c>
      <c r="G414" s="39" t="s">
        <v>110</v>
      </c>
      <c r="H414" s="41">
        <v>38</v>
      </c>
      <c r="I414" s="36">
        <f t="shared" si="79"/>
        <v>152000</v>
      </c>
      <c r="J414" s="37">
        <f t="shared" si="77"/>
        <v>1.9000000000000001</v>
      </c>
      <c r="K414" s="37">
        <f t="shared" si="78"/>
        <v>2.85</v>
      </c>
      <c r="M414" s="37">
        <f t="shared" si="80"/>
        <v>1.1875</v>
      </c>
      <c r="O414" s="4">
        <f t="shared" si="81"/>
        <v>570000</v>
      </c>
      <c r="Q414" s="4">
        <f t="shared" si="82"/>
        <v>47500</v>
      </c>
      <c r="S414" s="4">
        <f t="shared" si="83"/>
        <v>1900</v>
      </c>
      <c r="U414" s="4">
        <f t="shared" si="86"/>
        <v>6840</v>
      </c>
      <c r="W414" s="4">
        <f t="shared" si="84"/>
        <v>570</v>
      </c>
      <c r="Y414" s="4">
        <f t="shared" si="85"/>
        <v>593.75</v>
      </c>
    </row>
    <row r="415" spans="1:25" ht="14.5" hidden="1" customHeight="1" outlineLevel="1" x14ac:dyDescent="0.35">
      <c r="A415" s="39" t="s">
        <v>1241</v>
      </c>
      <c r="B415" s="39" t="s">
        <v>109</v>
      </c>
      <c r="C415" s="39" t="s">
        <v>109</v>
      </c>
      <c r="D415" s="39" t="s">
        <v>109</v>
      </c>
      <c r="E415" s="40" t="s">
        <v>95</v>
      </c>
      <c r="F415" s="39" t="s">
        <v>41</v>
      </c>
      <c r="G415" s="39" t="s">
        <v>558</v>
      </c>
      <c r="H415" s="41">
        <v>38</v>
      </c>
      <c r="I415" s="36">
        <f t="shared" si="79"/>
        <v>152000</v>
      </c>
      <c r="J415" s="37">
        <f t="shared" si="77"/>
        <v>1.9000000000000001</v>
      </c>
      <c r="K415" s="37">
        <f t="shared" si="78"/>
        <v>2.85</v>
      </c>
      <c r="M415" s="37">
        <f t="shared" si="80"/>
        <v>1.1875</v>
      </c>
      <c r="O415" s="4">
        <f t="shared" si="81"/>
        <v>570000</v>
      </c>
      <c r="Q415" s="4">
        <f t="shared" si="82"/>
        <v>47500</v>
      </c>
      <c r="S415" s="4">
        <f t="shared" si="83"/>
        <v>1900</v>
      </c>
      <c r="U415" s="4">
        <f t="shared" si="86"/>
        <v>6840</v>
      </c>
      <c r="W415" s="4">
        <f t="shared" si="84"/>
        <v>570</v>
      </c>
      <c r="Y415" s="4">
        <f t="shared" si="85"/>
        <v>593.75</v>
      </c>
    </row>
    <row r="416" spans="1:25" ht="14.5" hidden="1" customHeight="1" outlineLevel="1" x14ac:dyDescent="0.35">
      <c r="A416" s="39" t="s">
        <v>1242</v>
      </c>
      <c r="B416" s="39" t="s">
        <v>109</v>
      </c>
      <c r="C416" s="39" t="s">
        <v>1243</v>
      </c>
      <c r="D416" s="39" t="s">
        <v>1244</v>
      </c>
      <c r="E416" s="40" t="s">
        <v>91</v>
      </c>
      <c r="F416" s="39" t="s">
        <v>41</v>
      </c>
      <c r="G416" s="39" t="s">
        <v>1245</v>
      </c>
      <c r="H416" s="41">
        <v>37</v>
      </c>
      <c r="I416" s="36">
        <f t="shared" si="79"/>
        <v>148000</v>
      </c>
      <c r="J416" s="37">
        <f t="shared" si="77"/>
        <v>1.85</v>
      </c>
      <c r="K416" s="37">
        <f t="shared" si="78"/>
        <v>2.7749999999999999</v>
      </c>
      <c r="M416" s="37">
        <f t="shared" si="80"/>
        <v>1.15625</v>
      </c>
      <c r="O416" s="4">
        <f t="shared" si="81"/>
        <v>555000</v>
      </c>
      <c r="Q416" s="4">
        <f t="shared" si="82"/>
        <v>46250</v>
      </c>
      <c r="S416" s="4">
        <f t="shared" si="83"/>
        <v>1850</v>
      </c>
      <c r="U416" s="4">
        <f t="shared" si="86"/>
        <v>6660</v>
      </c>
      <c r="W416" s="4">
        <f t="shared" si="84"/>
        <v>555</v>
      </c>
      <c r="Y416" s="4">
        <f t="shared" si="85"/>
        <v>578.125</v>
      </c>
    </row>
    <row r="417" spans="1:25" ht="14.5" hidden="1" customHeight="1" outlineLevel="1" x14ac:dyDescent="0.35">
      <c r="A417" s="39" t="s">
        <v>1246</v>
      </c>
      <c r="B417" s="39" t="s">
        <v>109</v>
      </c>
      <c r="C417" s="39" t="s">
        <v>1247</v>
      </c>
      <c r="D417" s="39" t="s">
        <v>305</v>
      </c>
      <c r="E417" s="40" t="s">
        <v>302</v>
      </c>
      <c r="F417" s="39" t="s">
        <v>41</v>
      </c>
      <c r="G417" s="39" t="s">
        <v>1214</v>
      </c>
      <c r="H417" s="41">
        <v>37</v>
      </c>
      <c r="I417" s="36">
        <f t="shared" si="79"/>
        <v>148000</v>
      </c>
      <c r="J417" s="37">
        <f t="shared" si="77"/>
        <v>1.85</v>
      </c>
      <c r="K417" s="37">
        <f t="shared" si="78"/>
        <v>2.7749999999999999</v>
      </c>
      <c r="M417" s="37">
        <f t="shared" si="80"/>
        <v>1.15625</v>
      </c>
      <c r="O417" s="4">
        <f t="shared" si="81"/>
        <v>555000</v>
      </c>
      <c r="Q417" s="4">
        <f t="shared" si="82"/>
        <v>46250</v>
      </c>
      <c r="S417" s="4">
        <f t="shared" si="83"/>
        <v>1850</v>
      </c>
      <c r="U417" s="4">
        <f t="shared" si="86"/>
        <v>6660</v>
      </c>
      <c r="W417" s="4">
        <f t="shared" si="84"/>
        <v>555</v>
      </c>
      <c r="Y417" s="4">
        <f t="shared" si="85"/>
        <v>578.125</v>
      </c>
    </row>
    <row r="418" spans="1:25" ht="14.5" hidden="1" customHeight="1" outlineLevel="1" x14ac:dyDescent="0.35">
      <c r="A418" s="39" t="s">
        <v>1248</v>
      </c>
      <c r="B418" s="39" t="s">
        <v>109</v>
      </c>
      <c r="C418" s="39" t="s">
        <v>109</v>
      </c>
      <c r="D418" s="39" t="s">
        <v>1249</v>
      </c>
      <c r="E418" s="40" t="s">
        <v>51</v>
      </c>
      <c r="F418" s="39" t="s">
        <v>41</v>
      </c>
      <c r="G418" s="39" t="s">
        <v>110</v>
      </c>
      <c r="H418" s="41">
        <v>37</v>
      </c>
      <c r="I418" s="36">
        <f t="shared" si="79"/>
        <v>148000</v>
      </c>
      <c r="J418" s="37">
        <f t="shared" si="77"/>
        <v>1.85</v>
      </c>
      <c r="K418" s="37">
        <f t="shared" si="78"/>
        <v>2.7749999999999999</v>
      </c>
      <c r="M418" s="37">
        <f t="shared" si="80"/>
        <v>1.15625</v>
      </c>
      <c r="O418" s="4">
        <f t="shared" si="81"/>
        <v>555000</v>
      </c>
      <c r="Q418" s="4">
        <f t="shared" si="82"/>
        <v>46250</v>
      </c>
      <c r="S418" s="4">
        <f t="shared" si="83"/>
        <v>1850</v>
      </c>
      <c r="U418" s="4">
        <f t="shared" si="86"/>
        <v>6660</v>
      </c>
      <c r="W418" s="4">
        <f t="shared" si="84"/>
        <v>555</v>
      </c>
      <c r="Y418" s="4">
        <f t="shared" si="85"/>
        <v>578.125</v>
      </c>
    </row>
    <row r="419" spans="1:25" ht="14.5" hidden="1" customHeight="1" outlineLevel="1" x14ac:dyDescent="0.35">
      <c r="A419" s="39" t="s">
        <v>1250</v>
      </c>
      <c r="B419" s="39" t="s">
        <v>109</v>
      </c>
      <c r="C419" s="39" t="s">
        <v>109</v>
      </c>
      <c r="D419" s="39" t="s">
        <v>1251</v>
      </c>
      <c r="E419" s="40" t="s">
        <v>436</v>
      </c>
      <c r="F419" s="39" t="s">
        <v>41</v>
      </c>
      <c r="G419" s="39" t="s">
        <v>1252</v>
      </c>
      <c r="H419" s="41">
        <v>37</v>
      </c>
      <c r="I419" s="36">
        <f t="shared" si="79"/>
        <v>148000</v>
      </c>
      <c r="J419" s="37">
        <f t="shared" si="77"/>
        <v>1.85</v>
      </c>
      <c r="K419" s="37">
        <f t="shared" si="78"/>
        <v>2.7749999999999999</v>
      </c>
      <c r="M419" s="37">
        <f t="shared" si="80"/>
        <v>1.15625</v>
      </c>
      <c r="O419" s="4">
        <f t="shared" si="81"/>
        <v>555000</v>
      </c>
      <c r="Q419" s="4">
        <f t="shared" si="82"/>
        <v>46250</v>
      </c>
      <c r="S419" s="4">
        <f t="shared" si="83"/>
        <v>1850</v>
      </c>
      <c r="U419" s="4">
        <f t="shared" si="86"/>
        <v>6660</v>
      </c>
      <c r="W419" s="4">
        <f t="shared" si="84"/>
        <v>555</v>
      </c>
      <c r="Y419" s="4">
        <f t="shared" si="85"/>
        <v>578.125</v>
      </c>
    </row>
    <row r="420" spans="1:25" ht="14.5" hidden="1" customHeight="1" outlineLevel="1" x14ac:dyDescent="0.35">
      <c r="A420" s="39" t="s">
        <v>1253</v>
      </c>
      <c r="B420" s="39" t="s">
        <v>109</v>
      </c>
      <c r="C420" s="39" t="s">
        <v>1254</v>
      </c>
      <c r="D420" s="39" t="s">
        <v>1255</v>
      </c>
      <c r="E420" s="40" t="s">
        <v>91</v>
      </c>
      <c r="F420" s="39" t="s">
        <v>41</v>
      </c>
      <c r="G420" s="39" t="s">
        <v>1256</v>
      </c>
      <c r="H420" s="41">
        <v>36</v>
      </c>
      <c r="I420" s="36">
        <f t="shared" si="79"/>
        <v>144000</v>
      </c>
      <c r="J420" s="37">
        <f t="shared" si="77"/>
        <v>1.8</v>
      </c>
      <c r="K420" s="37">
        <f t="shared" si="78"/>
        <v>2.6999999999999997</v>
      </c>
      <c r="M420" s="37">
        <f t="shared" si="80"/>
        <v>1.125</v>
      </c>
      <c r="O420" s="4">
        <f t="shared" si="81"/>
        <v>540000</v>
      </c>
      <c r="Q420" s="4">
        <f t="shared" si="82"/>
        <v>45000</v>
      </c>
      <c r="S420" s="4">
        <f t="shared" si="83"/>
        <v>1800</v>
      </c>
      <c r="U420" s="4">
        <f t="shared" si="86"/>
        <v>6480</v>
      </c>
      <c r="W420" s="4">
        <f t="shared" si="84"/>
        <v>540</v>
      </c>
      <c r="Y420" s="4">
        <f t="shared" si="85"/>
        <v>562.5</v>
      </c>
    </row>
    <row r="421" spans="1:25" ht="14.5" hidden="1" customHeight="1" outlineLevel="1" x14ac:dyDescent="0.35">
      <c r="A421" s="39" t="s">
        <v>1257</v>
      </c>
      <c r="B421" s="39" t="s">
        <v>109</v>
      </c>
      <c r="C421" s="39" t="s">
        <v>109</v>
      </c>
      <c r="D421" s="39" t="s">
        <v>1258</v>
      </c>
      <c r="E421" s="40" t="s">
        <v>226</v>
      </c>
      <c r="F421" s="39" t="s">
        <v>41</v>
      </c>
      <c r="G421" s="39" t="s">
        <v>1259</v>
      </c>
      <c r="H421" s="41">
        <v>36</v>
      </c>
      <c r="I421" s="36">
        <f t="shared" si="79"/>
        <v>144000</v>
      </c>
      <c r="J421" s="37">
        <f t="shared" si="77"/>
        <v>1.8</v>
      </c>
      <c r="K421" s="37">
        <f t="shared" si="78"/>
        <v>2.6999999999999997</v>
      </c>
      <c r="M421" s="37">
        <f t="shared" si="80"/>
        <v>1.125</v>
      </c>
      <c r="O421" s="4">
        <f t="shared" si="81"/>
        <v>540000</v>
      </c>
      <c r="Q421" s="4">
        <f t="shared" si="82"/>
        <v>45000</v>
      </c>
      <c r="S421" s="4">
        <f t="shared" si="83"/>
        <v>1800</v>
      </c>
      <c r="U421" s="4">
        <f t="shared" si="86"/>
        <v>6480</v>
      </c>
      <c r="W421" s="4">
        <f t="shared" si="84"/>
        <v>540</v>
      </c>
      <c r="Y421" s="4">
        <f t="shared" si="85"/>
        <v>562.5</v>
      </c>
    </row>
    <row r="422" spans="1:25" ht="14.5" hidden="1" customHeight="1" outlineLevel="1" x14ac:dyDescent="0.35">
      <c r="A422" s="39" t="s">
        <v>1260</v>
      </c>
      <c r="B422" s="39" t="s">
        <v>109</v>
      </c>
      <c r="C422" s="39" t="s">
        <v>109</v>
      </c>
      <c r="D422" s="39" t="s">
        <v>1261</v>
      </c>
      <c r="E422" s="40" t="s">
        <v>138</v>
      </c>
      <c r="F422" s="39" t="s">
        <v>41</v>
      </c>
      <c r="G422" s="39" t="s">
        <v>1262</v>
      </c>
      <c r="H422" s="41">
        <v>36</v>
      </c>
      <c r="I422" s="36">
        <f t="shared" si="79"/>
        <v>144000</v>
      </c>
      <c r="J422" s="37">
        <f t="shared" si="77"/>
        <v>1.8</v>
      </c>
      <c r="K422" s="37">
        <f t="shared" si="78"/>
        <v>2.6999999999999997</v>
      </c>
      <c r="M422" s="37">
        <f t="shared" si="80"/>
        <v>1.125</v>
      </c>
      <c r="O422" s="4">
        <f t="shared" si="81"/>
        <v>540000</v>
      </c>
      <c r="Q422" s="4">
        <f t="shared" si="82"/>
        <v>45000</v>
      </c>
      <c r="S422" s="4">
        <f t="shared" si="83"/>
        <v>1800</v>
      </c>
      <c r="U422" s="4">
        <f t="shared" si="86"/>
        <v>6480</v>
      </c>
      <c r="W422" s="4">
        <f t="shared" si="84"/>
        <v>540</v>
      </c>
      <c r="Y422" s="4">
        <f t="shared" si="85"/>
        <v>562.5</v>
      </c>
    </row>
    <row r="423" spans="1:25" ht="14.5" hidden="1" customHeight="1" outlineLevel="1" x14ac:dyDescent="0.35">
      <c r="A423" s="39" t="s">
        <v>1263</v>
      </c>
      <c r="B423" s="39" t="s">
        <v>109</v>
      </c>
      <c r="C423" s="39" t="s">
        <v>109</v>
      </c>
      <c r="D423" s="39" t="s">
        <v>1137</v>
      </c>
      <c r="E423" s="40" t="s">
        <v>721</v>
      </c>
      <c r="F423" s="39" t="s">
        <v>41</v>
      </c>
      <c r="G423" s="39" t="s">
        <v>110</v>
      </c>
      <c r="H423" s="41">
        <v>36</v>
      </c>
      <c r="I423" s="36">
        <f t="shared" si="79"/>
        <v>144000</v>
      </c>
      <c r="J423" s="37">
        <f t="shared" si="77"/>
        <v>1.8</v>
      </c>
      <c r="K423" s="37">
        <f t="shared" si="78"/>
        <v>2.6999999999999997</v>
      </c>
      <c r="M423" s="37">
        <f t="shared" si="80"/>
        <v>1.125</v>
      </c>
      <c r="O423" s="4">
        <f t="shared" si="81"/>
        <v>540000</v>
      </c>
      <c r="Q423" s="4">
        <f t="shared" si="82"/>
        <v>45000</v>
      </c>
      <c r="S423" s="4">
        <f t="shared" si="83"/>
        <v>1800</v>
      </c>
      <c r="U423" s="4">
        <f t="shared" si="86"/>
        <v>6480</v>
      </c>
      <c r="W423" s="4">
        <f t="shared" si="84"/>
        <v>540</v>
      </c>
      <c r="Y423" s="4">
        <f t="shared" si="85"/>
        <v>562.5</v>
      </c>
    </row>
    <row r="424" spans="1:25" ht="14.5" hidden="1" customHeight="1" outlineLevel="1" x14ac:dyDescent="0.35">
      <c r="A424" s="39" t="s">
        <v>1264</v>
      </c>
      <c r="B424" s="39" t="s">
        <v>109</v>
      </c>
      <c r="C424" s="39" t="s">
        <v>109</v>
      </c>
      <c r="D424" s="39" t="s">
        <v>1265</v>
      </c>
      <c r="E424" s="40" t="s">
        <v>452</v>
      </c>
      <c r="F424" s="39" t="s">
        <v>41</v>
      </c>
      <c r="G424" s="39" t="s">
        <v>1266</v>
      </c>
      <c r="H424" s="41">
        <v>36</v>
      </c>
      <c r="I424" s="36">
        <f t="shared" si="79"/>
        <v>144000</v>
      </c>
      <c r="J424" s="37">
        <f t="shared" si="77"/>
        <v>1.8</v>
      </c>
      <c r="K424" s="37">
        <f t="shared" si="78"/>
        <v>2.6999999999999997</v>
      </c>
      <c r="M424" s="37">
        <f t="shared" si="80"/>
        <v>1.125</v>
      </c>
      <c r="O424" s="4">
        <f t="shared" si="81"/>
        <v>540000</v>
      </c>
      <c r="Q424" s="4">
        <f t="shared" si="82"/>
        <v>45000</v>
      </c>
      <c r="S424" s="4">
        <f t="shared" si="83"/>
        <v>1800</v>
      </c>
      <c r="U424" s="4">
        <f t="shared" si="86"/>
        <v>6480</v>
      </c>
      <c r="W424" s="4">
        <f t="shared" si="84"/>
        <v>540</v>
      </c>
      <c r="Y424" s="4">
        <f t="shared" si="85"/>
        <v>562.5</v>
      </c>
    </row>
    <row r="425" spans="1:25" ht="14.5" hidden="1" customHeight="1" outlineLevel="1" x14ac:dyDescent="0.35">
      <c r="A425" s="39" t="s">
        <v>1267</v>
      </c>
      <c r="B425" s="39" t="s">
        <v>109</v>
      </c>
      <c r="C425" s="39" t="s">
        <v>109</v>
      </c>
      <c r="D425" s="39" t="s">
        <v>171</v>
      </c>
      <c r="E425" s="40" t="s">
        <v>91</v>
      </c>
      <c r="F425" s="39" t="s">
        <v>41</v>
      </c>
      <c r="G425" s="39" t="s">
        <v>1268</v>
      </c>
      <c r="H425" s="41">
        <v>36</v>
      </c>
      <c r="I425" s="36">
        <f t="shared" si="79"/>
        <v>144000</v>
      </c>
      <c r="J425" s="37">
        <f t="shared" si="77"/>
        <v>1.8</v>
      </c>
      <c r="K425" s="37">
        <f t="shared" si="78"/>
        <v>2.6999999999999997</v>
      </c>
      <c r="M425" s="37">
        <f t="shared" si="80"/>
        <v>1.125</v>
      </c>
      <c r="O425" s="4">
        <f t="shared" si="81"/>
        <v>540000</v>
      </c>
      <c r="Q425" s="4">
        <f t="shared" si="82"/>
        <v>45000</v>
      </c>
      <c r="S425" s="4">
        <f t="shared" si="83"/>
        <v>1800</v>
      </c>
      <c r="U425" s="4">
        <f t="shared" si="86"/>
        <v>6480</v>
      </c>
      <c r="W425" s="4">
        <f t="shared" si="84"/>
        <v>540</v>
      </c>
      <c r="Y425" s="4">
        <f t="shared" si="85"/>
        <v>562.5</v>
      </c>
    </row>
    <row r="426" spans="1:25" ht="14.5" hidden="1" customHeight="1" outlineLevel="1" x14ac:dyDescent="0.35">
      <c r="A426" s="39" t="s">
        <v>1269</v>
      </c>
      <c r="B426" s="39" t="s">
        <v>109</v>
      </c>
      <c r="C426" s="39" t="s">
        <v>109</v>
      </c>
      <c r="D426" s="39" t="s">
        <v>283</v>
      </c>
      <c r="E426" s="40" t="s">
        <v>211</v>
      </c>
      <c r="F426" s="39" t="s">
        <v>41</v>
      </c>
      <c r="G426" s="39" t="s">
        <v>1270</v>
      </c>
      <c r="H426" s="41">
        <v>35</v>
      </c>
      <c r="I426" s="36">
        <f t="shared" si="79"/>
        <v>140000</v>
      </c>
      <c r="J426" s="37">
        <f t="shared" si="77"/>
        <v>1.75</v>
      </c>
      <c r="K426" s="37">
        <f t="shared" si="78"/>
        <v>2.625</v>
      </c>
      <c r="M426" s="37">
        <f t="shared" si="80"/>
        <v>1.09375</v>
      </c>
      <c r="O426" s="4">
        <f t="shared" si="81"/>
        <v>525000</v>
      </c>
      <c r="Q426" s="4">
        <f t="shared" si="82"/>
        <v>43750</v>
      </c>
      <c r="S426" s="4">
        <f t="shared" si="83"/>
        <v>1750</v>
      </c>
      <c r="U426" s="4">
        <f t="shared" si="86"/>
        <v>6300</v>
      </c>
      <c r="W426" s="4">
        <f t="shared" si="84"/>
        <v>525</v>
      </c>
      <c r="Y426" s="4">
        <f t="shared" si="85"/>
        <v>546.875</v>
      </c>
    </row>
    <row r="427" spans="1:25" ht="14.5" hidden="1" customHeight="1" outlineLevel="1" x14ac:dyDescent="0.35">
      <c r="A427" s="39" t="s">
        <v>1271</v>
      </c>
      <c r="B427" s="39" t="s">
        <v>109</v>
      </c>
      <c r="C427" s="39" t="s">
        <v>109</v>
      </c>
      <c r="D427" s="39" t="s">
        <v>973</v>
      </c>
      <c r="E427" s="40" t="s">
        <v>255</v>
      </c>
      <c r="F427" s="39" t="s">
        <v>41</v>
      </c>
      <c r="G427" s="39" t="s">
        <v>110</v>
      </c>
      <c r="H427" s="41">
        <v>34</v>
      </c>
      <c r="I427" s="36">
        <f t="shared" si="79"/>
        <v>136000</v>
      </c>
      <c r="J427" s="37">
        <f t="shared" si="77"/>
        <v>1.7000000000000002</v>
      </c>
      <c r="K427" s="37">
        <f t="shared" si="78"/>
        <v>2.5499999999999998</v>
      </c>
      <c r="M427" s="37">
        <f t="shared" si="80"/>
        <v>1.0625</v>
      </c>
      <c r="O427" s="4">
        <f t="shared" si="81"/>
        <v>510000</v>
      </c>
      <c r="Q427" s="4">
        <f t="shared" si="82"/>
        <v>42500</v>
      </c>
      <c r="S427" s="4">
        <f t="shared" si="83"/>
        <v>1700</v>
      </c>
      <c r="U427" s="4">
        <f t="shared" si="86"/>
        <v>6120</v>
      </c>
      <c r="W427" s="4">
        <f t="shared" si="84"/>
        <v>510</v>
      </c>
      <c r="Y427" s="4">
        <f t="shared" si="85"/>
        <v>531.25</v>
      </c>
    </row>
    <row r="428" spans="1:25" ht="14.5" hidden="1" customHeight="1" outlineLevel="1" x14ac:dyDescent="0.35">
      <c r="A428" s="39" t="s">
        <v>1272</v>
      </c>
      <c r="B428" s="39" t="s">
        <v>109</v>
      </c>
      <c r="C428" s="39" t="s">
        <v>1273</v>
      </c>
      <c r="D428" s="39" t="s">
        <v>1274</v>
      </c>
      <c r="E428" s="40" t="s">
        <v>260</v>
      </c>
      <c r="F428" s="39" t="s">
        <v>41</v>
      </c>
      <c r="G428" s="39" t="s">
        <v>110</v>
      </c>
      <c r="H428" s="41">
        <v>34</v>
      </c>
      <c r="I428" s="36">
        <f t="shared" si="79"/>
        <v>136000</v>
      </c>
      <c r="J428" s="37">
        <f t="shared" ref="J428:J491" si="87">H428*$F$7</f>
        <v>1.7000000000000002</v>
      </c>
      <c r="K428" s="37">
        <f t="shared" ref="K428:K491" si="88">H428*$G$7</f>
        <v>2.5499999999999998</v>
      </c>
      <c r="M428" s="37">
        <f t="shared" si="80"/>
        <v>1.0625</v>
      </c>
      <c r="O428" s="4">
        <f t="shared" si="81"/>
        <v>510000</v>
      </c>
      <c r="Q428" s="4">
        <f t="shared" si="82"/>
        <v>42500</v>
      </c>
      <c r="S428" s="4">
        <f t="shared" si="83"/>
        <v>1700</v>
      </c>
      <c r="U428" s="4">
        <f t="shared" si="86"/>
        <v>6120</v>
      </c>
      <c r="W428" s="4">
        <f t="shared" si="84"/>
        <v>510</v>
      </c>
      <c r="Y428" s="4">
        <f t="shared" si="85"/>
        <v>531.25</v>
      </c>
    </row>
    <row r="429" spans="1:25" ht="14.5" hidden="1" customHeight="1" outlineLevel="1" x14ac:dyDescent="0.35">
      <c r="A429" s="39" t="s">
        <v>1275</v>
      </c>
      <c r="B429" s="39" t="s">
        <v>109</v>
      </c>
      <c r="C429" s="39" t="s">
        <v>109</v>
      </c>
      <c r="D429" s="39" t="s">
        <v>1276</v>
      </c>
      <c r="E429" s="40" t="s">
        <v>51</v>
      </c>
      <c r="F429" s="39" t="s">
        <v>41</v>
      </c>
      <c r="G429" s="39" t="s">
        <v>1277</v>
      </c>
      <c r="H429" s="41">
        <v>33</v>
      </c>
      <c r="I429" s="36">
        <f t="shared" ref="I429:I492" si="89">$E$7*H429</f>
        <v>132000</v>
      </c>
      <c r="J429" s="37">
        <f t="shared" si="87"/>
        <v>1.6500000000000001</v>
      </c>
      <c r="K429" s="37">
        <f t="shared" si="88"/>
        <v>2.4750000000000001</v>
      </c>
      <c r="M429" s="37">
        <f t="shared" ref="M429:M492" si="90">0.5*(AVERAGE(J429:K429))</f>
        <v>1.03125</v>
      </c>
      <c r="O429" s="4">
        <f t="shared" ref="O429:O492" si="91">I429*$E$3</f>
        <v>495000</v>
      </c>
      <c r="Q429" s="4">
        <f t="shared" ref="Q429:Q492" si="92">I429*$E$3/12</f>
        <v>41250</v>
      </c>
      <c r="S429" s="4">
        <f t="shared" ref="S429:S492" si="93">Q429*$E$4</f>
        <v>1650</v>
      </c>
      <c r="U429" s="4">
        <f t="shared" si="86"/>
        <v>5940</v>
      </c>
      <c r="W429" s="4">
        <f t="shared" ref="W429:W492" si="94">S429*$E$5</f>
        <v>495</v>
      </c>
      <c r="Y429" s="4">
        <f t="shared" ref="Y429:Y492" si="95">M429*$E$6</f>
        <v>515.625</v>
      </c>
    </row>
    <row r="430" spans="1:25" ht="14.5" hidden="1" customHeight="1" outlineLevel="1" x14ac:dyDescent="0.35">
      <c r="A430" s="39" t="s">
        <v>1278</v>
      </c>
      <c r="B430" s="39" t="s">
        <v>109</v>
      </c>
      <c r="C430" s="39" t="s">
        <v>109</v>
      </c>
      <c r="D430" s="39" t="s">
        <v>1279</v>
      </c>
      <c r="E430" s="40" t="s">
        <v>186</v>
      </c>
      <c r="F430" s="39" t="s">
        <v>41</v>
      </c>
      <c r="G430" s="39" t="s">
        <v>110</v>
      </c>
      <c r="H430" s="41">
        <v>33</v>
      </c>
      <c r="I430" s="36">
        <f t="shared" si="89"/>
        <v>132000</v>
      </c>
      <c r="J430" s="37">
        <f t="shared" si="87"/>
        <v>1.6500000000000001</v>
      </c>
      <c r="K430" s="37">
        <f t="shared" si="88"/>
        <v>2.4750000000000001</v>
      </c>
      <c r="M430" s="37">
        <f t="shared" si="90"/>
        <v>1.03125</v>
      </c>
      <c r="O430" s="4">
        <f t="shared" si="91"/>
        <v>495000</v>
      </c>
      <c r="Q430" s="4">
        <f t="shared" si="92"/>
        <v>41250</v>
      </c>
      <c r="S430" s="4">
        <f t="shared" si="93"/>
        <v>1650</v>
      </c>
      <c r="U430" s="4">
        <f t="shared" ref="U430:U493" si="96">W430*12</f>
        <v>5940</v>
      </c>
      <c r="W430" s="4">
        <f t="shared" si="94"/>
        <v>495</v>
      </c>
      <c r="Y430" s="4">
        <f t="shared" si="95"/>
        <v>515.625</v>
      </c>
    </row>
    <row r="431" spans="1:25" ht="14.5" hidden="1" customHeight="1" outlineLevel="1" x14ac:dyDescent="0.35">
      <c r="A431" s="39" t="s">
        <v>1280</v>
      </c>
      <c r="B431" s="39" t="s">
        <v>109</v>
      </c>
      <c r="C431" s="39" t="s">
        <v>109</v>
      </c>
      <c r="D431" s="39" t="s">
        <v>1281</v>
      </c>
      <c r="E431" s="40" t="s">
        <v>1282</v>
      </c>
      <c r="F431" s="39" t="s">
        <v>41</v>
      </c>
      <c r="G431" s="39" t="s">
        <v>110</v>
      </c>
      <c r="H431" s="41">
        <v>33</v>
      </c>
      <c r="I431" s="36">
        <f t="shared" si="89"/>
        <v>132000</v>
      </c>
      <c r="J431" s="37">
        <f t="shared" si="87"/>
        <v>1.6500000000000001</v>
      </c>
      <c r="K431" s="37">
        <f t="shared" si="88"/>
        <v>2.4750000000000001</v>
      </c>
      <c r="M431" s="37">
        <f t="shared" si="90"/>
        <v>1.03125</v>
      </c>
      <c r="O431" s="4">
        <f t="shared" si="91"/>
        <v>495000</v>
      </c>
      <c r="Q431" s="4">
        <f t="shared" si="92"/>
        <v>41250</v>
      </c>
      <c r="S431" s="4">
        <f t="shared" si="93"/>
        <v>1650</v>
      </c>
      <c r="U431" s="4">
        <f t="shared" si="96"/>
        <v>5940</v>
      </c>
      <c r="W431" s="4">
        <f t="shared" si="94"/>
        <v>495</v>
      </c>
      <c r="Y431" s="4">
        <f t="shared" si="95"/>
        <v>515.625</v>
      </c>
    </row>
    <row r="432" spans="1:25" ht="14.5" hidden="1" customHeight="1" outlineLevel="1" x14ac:dyDescent="0.35">
      <c r="A432" s="39" t="s">
        <v>1283</v>
      </c>
      <c r="B432" s="39" t="s">
        <v>109</v>
      </c>
      <c r="C432" s="39" t="s">
        <v>109</v>
      </c>
      <c r="D432" s="39" t="s">
        <v>1284</v>
      </c>
      <c r="E432" s="40" t="s">
        <v>165</v>
      </c>
      <c r="F432" s="39" t="s">
        <v>41</v>
      </c>
      <c r="G432" s="39" t="s">
        <v>1285</v>
      </c>
      <c r="H432" s="41">
        <v>32</v>
      </c>
      <c r="I432" s="36">
        <f t="shared" si="89"/>
        <v>128000</v>
      </c>
      <c r="J432" s="37">
        <f t="shared" si="87"/>
        <v>1.6</v>
      </c>
      <c r="K432" s="37">
        <f t="shared" si="88"/>
        <v>2.4</v>
      </c>
      <c r="M432" s="37">
        <f t="shared" si="90"/>
        <v>1</v>
      </c>
      <c r="O432" s="4">
        <f t="shared" si="91"/>
        <v>480000</v>
      </c>
      <c r="Q432" s="4">
        <f t="shared" si="92"/>
        <v>40000</v>
      </c>
      <c r="S432" s="4">
        <f t="shared" si="93"/>
        <v>1600</v>
      </c>
      <c r="U432" s="4">
        <f t="shared" si="96"/>
        <v>5760</v>
      </c>
      <c r="W432" s="4">
        <f t="shared" si="94"/>
        <v>480</v>
      </c>
      <c r="Y432" s="4">
        <f t="shared" si="95"/>
        <v>500</v>
      </c>
    </row>
    <row r="433" spans="1:25" ht="14.5" hidden="1" customHeight="1" outlineLevel="1" x14ac:dyDescent="0.35">
      <c r="A433" s="39" t="s">
        <v>1286</v>
      </c>
      <c r="B433" s="39" t="s">
        <v>109</v>
      </c>
      <c r="C433" s="39" t="s">
        <v>109</v>
      </c>
      <c r="D433" s="39" t="s">
        <v>1287</v>
      </c>
      <c r="E433" s="40" t="s">
        <v>165</v>
      </c>
      <c r="F433" s="39" t="s">
        <v>41</v>
      </c>
      <c r="G433" s="39" t="s">
        <v>110</v>
      </c>
      <c r="H433" s="41">
        <v>32</v>
      </c>
      <c r="I433" s="36">
        <f t="shared" si="89"/>
        <v>128000</v>
      </c>
      <c r="J433" s="37">
        <f t="shared" si="87"/>
        <v>1.6</v>
      </c>
      <c r="K433" s="37">
        <f t="shared" si="88"/>
        <v>2.4</v>
      </c>
      <c r="M433" s="37">
        <f t="shared" si="90"/>
        <v>1</v>
      </c>
      <c r="O433" s="4">
        <f t="shared" si="91"/>
        <v>480000</v>
      </c>
      <c r="Q433" s="4">
        <f t="shared" si="92"/>
        <v>40000</v>
      </c>
      <c r="S433" s="4">
        <f t="shared" si="93"/>
        <v>1600</v>
      </c>
      <c r="U433" s="4">
        <f t="shared" si="96"/>
        <v>5760</v>
      </c>
      <c r="W433" s="4">
        <f t="shared" si="94"/>
        <v>480</v>
      </c>
      <c r="Y433" s="4">
        <f t="shared" si="95"/>
        <v>500</v>
      </c>
    </row>
    <row r="434" spans="1:25" ht="14.5" hidden="1" customHeight="1" outlineLevel="1" x14ac:dyDescent="0.35">
      <c r="A434" s="39" t="s">
        <v>1288</v>
      </c>
      <c r="B434" s="39" t="s">
        <v>109</v>
      </c>
      <c r="C434" s="39" t="s">
        <v>1289</v>
      </c>
      <c r="D434" s="39" t="s">
        <v>1290</v>
      </c>
      <c r="E434" s="40" t="s">
        <v>91</v>
      </c>
      <c r="F434" s="39" t="s">
        <v>41</v>
      </c>
      <c r="G434" s="39" t="s">
        <v>1291</v>
      </c>
      <c r="H434" s="41">
        <v>31</v>
      </c>
      <c r="I434" s="36">
        <f t="shared" si="89"/>
        <v>124000</v>
      </c>
      <c r="J434" s="37">
        <f t="shared" si="87"/>
        <v>1.55</v>
      </c>
      <c r="K434" s="37">
        <f t="shared" si="88"/>
        <v>2.3249999999999997</v>
      </c>
      <c r="M434" s="37">
        <f t="shared" si="90"/>
        <v>0.96875</v>
      </c>
      <c r="O434" s="4">
        <f t="shared" si="91"/>
        <v>465000</v>
      </c>
      <c r="Q434" s="4">
        <f t="shared" si="92"/>
        <v>38750</v>
      </c>
      <c r="S434" s="4">
        <f t="shared" si="93"/>
        <v>1550</v>
      </c>
      <c r="U434" s="4">
        <f t="shared" si="96"/>
        <v>5580</v>
      </c>
      <c r="W434" s="4">
        <f t="shared" si="94"/>
        <v>465</v>
      </c>
      <c r="Y434" s="4">
        <f t="shared" si="95"/>
        <v>484.375</v>
      </c>
    </row>
    <row r="435" spans="1:25" ht="14.5" hidden="1" customHeight="1" outlineLevel="1" x14ac:dyDescent="0.35">
      <c r="A435" s="39" t="s">
        <v>1292</v>
      </c>
      <c r="B435" s="39" t="s">
        <v>109</v>
      </c>
      <c r="C435" s="39" t="s">
        <v>109</v>
      </c>
      <c r="D435" s="39" t="s">
        <v>1293</v>
      </c>
      <c r="E435" s="40" t="s">
        <v>51</v>
      </c>
      <c r="F435" s="39" t="s">
        <v>41</v>
      </c>
      <c r="G435" s="39" t="s">
        <v>110</v>
      </c>
      <c r="H435" s="41">
        <v>31</v>
      </c>
      <c r="I435" s="36">
        <f t="shared" si="89"/>
        <v>124000</v>
      </c>
      <c r="J435" s="37">
        <f t="shared" si="87"/>
        <v>1.55</v>
      </c>
      <c r="K435" s="37">
        <f t="shared" si="88"/>
        <v>2.3249999999999997</v>
      </c>
      <c r="M435" s="37">
        <f t="shared" si="90"/>
        <v>0.96875</v>
      </c>
      <c r="O435" s="4">
        <f t="shared" si="91"/>
        <v>465000</v>
      </c>
      <c r="Q435" s="4">
        <f t="shared" si="92"/>
        <v>38750</v>
      </c>
      <c r="S435" s="4">
        <f t="shared" si="93"/>
        <v>1550</v>
      </c>
      <c r="U435" s="4">
        <f t="shared" si="96"/>
        <v>5580</v>
      </c>
      <c r="W435" s="4">
        <f t="shared" si="94"/>
        <v>465</v>
      </c>
      <c r="Y435" s="4">
        <f t="shared" si="95"/>
        <v>484.375</v>
      </c>
    </row>
    <row r="436" spans="1:25" ht="14.5" hidden="1" customHeight="1" outlineLevel="1" x14ac:dyDescent="0.35">
      <c r="A436" s="39" t="s">
        <v>1294</v>
      </c>
      <c r="B436" s="39" t="s">
        <v>109</v>
      </c>
      <c r="C436" s="39" t="s">
        <v>109</v>
      </c>
      <c r="D436" s="39" t="s">
        <v>109</v>
      </c>
      <c r="E436" s="40" t="s">
        <v>109</v>
      </c>
      <c r="F436" s="39" t="s">
        <v>41</v>
      </c>
      <c r="G436" s="39" t="s">
        <v>110</v>
      </c>
      <c r="H436" s="41">
        <v>30</v>
      </c>
      <c r="I436" s="36">
        <f t="shared" si="89"/>
        <v>120000</v>
      </c>
      <c r="J436" s="37">
        <f t="shared" si="87"/>
        <v>1.5</v>
      </c>
      <c r="K436" s="37">
        <f t="shared" si="88"/>
        <v>2.25</v>
      </c>
      <c r="M436" s="37">
        <f t="shared" si="90"/>
        <v>0.9375</v>
      </c>
      <c r="O436" s="4">
        <f t="shared" si="91"/>
        <v>450000</v>
      </c>
      <c r="Q436" s="4">
        <f t="shared" si="92"/>
        <v>37500</v>
      </c>
      <c r="S436" s="4">
        <f t="shared" si="93"/>
        <v>1500</v>
      </c>
      <c r="U436" s="4">
        <f t="shared" si="96"/>
        <v>5400</v>
      </c>
      <c r="W436" s="4">
        <f t="shared" si="94"/>
        <v>450</v>
      </c>
      <c r="Y436" s="4">
        <f t="shared" si="95"/>
        <v>468.75</v>
      </c>
    </row>
    <row r="437" spans="1:25" ht="14.5" hidden="1" customHeight="1" outlineLevel="1" x14ac:dyDescent="0.35">
      <c r="A437" s="39" t="s">
        <v>1295</v>
      </c>
      <c r="B437" s="39" t="s">
        <v>109</v>
      </c>
      <c r="C437" s="39" t="s">
        <v>109</v>
      </c>
      <c r="D437" s="39" t="s">
        <v>1296</v>
      </c>
      <c r="E437" s="40" t="s">
        <v>126</v>
      </c>
      <c r="F437" s="39" t="s">
        <v>41</v>
      </c>
      <c r="G437" s="39" t="s">
        <v>110</v>
      </c>
      <c r="H437" s="41">
        <v>30</v>
      </c>
      <c r="I437" s="36">
        <f t="shared" si="89"/>
        <v>120000</v>
      </c>
      <c r="J437" s="37">
        <f t="shared" si="87"/>
        <v>1.5</v>
      </c>
      <c r="K437" s="37">
        <f t="shared" si="88"/>
        <v>2.25</v>
      </c>
      <c r="M437" s="37">
        <f t="shared" si="90"/>
        <v>0.9375</v>
      </c>
      <c r="O437" s="4">
        <f t="shared" si="91"/>
        <v>450000</v>
      </c>
      <c r="Q437" s="4">
        <f t="shared" si="92"/>
        <v>37500</v>
      </c>
      <c r="S437" s="4">
        <f t="shared" si="93"/>
        <v>1500</v>
      </c>
      <c r="U437" s="4">
        <f t="shared" si="96"/>
        <v>5400</v>
      </c>
      <c r="W437" s="4">
        <f t="shared" si="94"/>
        <v>450</v>
      </c>
      <c r="Y437" s="4">
        <f t="shared" si="95"/>
        <v>468.75</v>
      </c>
    </row>
    <row r="438" spans="1:25" ht="14.5" hidden="1" customHeight="1" outlineLevel="1" x14ac:dyDescent="0.35">
      <c r="A438" s="39" t="s">
        <v>1297</v>
      </c>
      <c r="B438" s="39" t="s">
        <v>109</v>
      </c>
      <c r="C438" s="39" t="s">
        <v>109</v>
      </c>
      <c r="D438" s="39" t="s">
        <v>1298</v>
      </c>
      <c r="E438" s="40" t="s">
        <v>251</v>
      </c>
      <c r="F438" s="39" t="s">
        <v>41</v>
      </c>
      <c r="G438" s="39" t="s">
        <v>1299</v>
      </c>
      <c r="H438" s="41">
        <v>28</v>
      </c>
      <c r="I438" s="36">
        <f t="shared" si="89"/>
        <v>112000</v>
      </c>
      <c r="J438" s="37">
        <f t="shared" si="87"/>
        <v>1.4000000000000001</v>
      </c>
      <c r="K438" s="37">
        <f t="shared" si="88"/>
        <v>2.1</v>
      </c>
      <c r="M438" s="37">
        <f t="shared" si="90"/>
        <v>0.875</v>
      </c>
      <c r="O438" s="4">
        <f t="shared" si="91"/>
        <v>420000</v>
      </c>
      <c r="Q438" s="4">
        <f t="shared" si="92"/>
        <v>35000</v>
      </c>
      <c r="S438" s="4">
        <f t="shared" si="93"/>
        <v>1400</v>
      </c>
      <c r="U438" s="4">
        <f t="shared" si="96"/>
        <v>5040</v>
      </c>
      <c r="W438" s="4">
        <f t="shared" si="94"/>
        <v>420</v>
      </c>
      <c r="Y438" s="4">
        <f t="shared" si="95"/>
        <v>437.5</v>
      </c>
    </row>
    <row r="439" spans="1:25" ht="14.5" hidden="1" customHeight="1" outlineLevel="1" x14ac:dyDescent="0.35">
      <c r="A439" s="39" t="s">
        <v>1300</v>
      </c>
      <c r="B439" s="39" t="s">
        <v>109</v>
      </c>
      <c r="C439" s="39" t="s">
        <v>109</v>
      </c>
      <c r="D439" s="39" t="s">
        <v>1301</v>
      </c>
      <c r="E439" s="40" t="s">
        <v>302</v>
      </c>
      <c r="F439" s="39" t="s">
        <v>41</v>
      </c>
      <c r="G439" s="39" t="s">
        <v>558</v>
      </c>
      <c r="H439" s="41">
        <v>28</v>
      </c>
      <c r="I439" s="36">
        <f t="shared" si="89"/>
        <v>112000</v>
      </c>
      <c r="J439" s="37">
        <f t="shared" si="87"/>
        <v>1.4000000000000001</v>
      </c>
      <c r="K439" s="37">
        <f t="shared" si="88"/>
        <v>2.1</v>
      </c>
      <c r="M439" s="37">
        <f t="shared" si="90"/>
        <v>0.875</v>
      </c>
      <c r="O439" s="4">
        <f t="shared" si="91"/>
        <v>420000</v>
      </c>
      <c r="Q439" s="4">
        <f t="shared" si="92"/>
        <v>35000</v>
      </c>
      <c r="S439" s="4">
        <f t="shared" si="93"/>
        <v>1400</v>
      </c>
      <c r="U439" s="4">
        <f t="shared" si="96"/>
        <v>5040</v>
      </c>
      <c r="W439" s="4">
        <f t="shared" si="94"/>
        <v>420</v>
      </c>
      <c r="Y439" s="4">
        <f t="shared" si="95"/>
        <v>437.5</v>
      </c>
    </row>
    <row r="440" spans="1:25" ht="14.5" hidden="1" customHeight="1" outlineLevel="1" x14ac:dyDescent="0.35">
      <c r="A440" s="39" t="s">
        <v>1302</v>
      </c>
      <c r="B440" s="39" t="s">
        <v>109</v>
      </c>
      <c r="C440" s="39" t="s">
        <v>109</v>
      </c>
      <c r="D440" s="39" t="s">
        <v>1303</v>
      </c>
      <c r="E440" s="40" t="s">
        <v>452</v>
      </c>
      <c r="F440" s="39" t="s">
        <v>41</v>
      </c>
      <c r="G440" s="39" t="s">
        <v>110</v>
      </c>
      <c r="H440" s="41">
        <v>27</v>
      </c>
      <c r="I440" s="36">
        <f t="shared" si="89"/>
        <v>108000</v>
      </c>
      <c r="J440" s="37">
        <f t="shared" si="87"/>
        <v>1.35</v>
      </c>
      <c r="K440" s="37">
        <f t="shared" si="88"/>
        <v>2.0249999999999999</v>
      </c>
      <c r="M440" s="37">
        <f t="shared" si="90"/>
        <v>0.84375</v>
      </c>
      <c r="O440" s="4">
        <f t="shared" si="91"/>
        <v>405000</v>
      </c>
      <c r="Q440" s="4">
        <f t="shared" si="92"/>
        <v>33750</v>
      </c>
      <c r="S440" s="4">
        <f t="shared" si="93"/>
        <v>1350</v>
      </c>
      <c r="U440" s="4">
        <f t="shared" si="96"/>
        <v>4860</v>
      </c>
      <c r="W440" s="4">
        <f t="shared" si="94"/>
        <v>405</v>
      </c>
      <c r="Y440" s="4">
        <f t="shared" si="95"/>
        <v>421.875</v>
      </c>
    </row>
    <row r="441" spans="1:25" ht="14.5" hidden="1" customHeight="1" outlineLevel="1" x14ac:dyDescent="0.35">
      <c r="A441" s="39" t="s">
        <v>1304</v>
      </c>
      <c r="B441" s="39" t="s">
        <v>109</v>
      </c>
      <c r="C441" s="39" t="s">
        <v>109</v>
      </c>
      <c r="D441" s="39" t="s">
        <v>1305</v>
      </c>
      <c r="E441" s="40" t="s">
        <v>238</v>
      </c>
      <c r="F441" s="39" t="s">
        <v>41</v>
      </c>
      <c r="G441" s="39" t="s">
        <v>1306</v>
      </c>
      <c r="H441" s="41">
        <v>27</v>
      </c>
      <c r="I441" s="36">
        <f t="shared" si="89"/>
        <v>108000</v>
      </c>
      <c r="J441" s="37">
        <f t="shared" si="87"/>
        <v>1.35</v>
      </c>
      <c r="K441" s="37">
        <f t="shared" si="88"/>
        <v>2.0249999999999999</v>
      </c>
      <c r="M441" s="37">
        <f t="shared" si="90"/>
        <v>0.84375</v>
      </c>
      <c r="O441" s="4">
        <f t="shared" si="91"/>
        <v>405000</v>
      </c>
      <c r="Q441" s="4">
        <f t="shared" si="92"/>
        <v>33750</v>
      </c>
      <c r="S441" s="4">
        <f t="shared" si="93"/>
        <v>1350</v>
      </c>
      <c r="U441" s="4">
        <f t="shared" si="96"/>
        <v>4860</v>
      </c>
      <c r="W441" s="4">
        <f t="shared" si="94"/>
        <v>405</v>
      </c>
      <c r="Y441" s="4">
        <f t="shared" si="95"/>
        <v>421.875</v>
      </c>
    </row>
    <row r="442" spans="1:25" ht="14.5" hidden="1" customHeight="1" outlineLevel="1" x14ac:dyDescent="0.35">
      <c r="A442" s="39" t="s">
        <v>1307</v>
      </c>
      <c r="B442" s="39" t="s">
        <v>109</v>
      </c>
      <c r="C442" s="39" t="s">
        <v>1308</v>
      </c>
      <c r="D442" s="39" t="s">
        <v>308</v>
      </c>
      <c r="E442" s="40" t="s">
        <v>211</v>
      </c>
      <c r="F442" s="39" t="s">
        <v>41</v>
      </c>
      <c r="G442" s="39" t="s">
        <v>110</v>
      </c>
      <c r="H442" s="41">
        <v>26</v>
      </c>
      <c r="I442" s="36">
        <f t="shared" si="89"/>
        <v>104000</v>
      </c>
      <c r="J442" s="37">
        <f t="shared" si="87"/>
        <v>1.3</v>
      </c>
      <c r="K442" s="37">
        <f t="shared" si="88"/>
        <v>1.95</v>
      </c>
      <c r="M442" s="37">
        <f t="shared" si="90"/>
        <v>0.8125</v>
      </c>
      <c r="O442" s="4">
        <f t="shared" si="91"/>
        <v>390000</v>
      </c>
      <c r="Q442" s="4">
        <f t="shared" si="92"/>
        <v>32500</v>
      </c>
      <c r="S442" s="4">
        <f t="shared" si="93"/>
        <v>1300</v>
      </c>
      <c r="U442" s="4">
        <f t="shared" si="96"/>
        <v>4680</v>
      </c>
      <c r="W442" s="4">
        <f t="shared" si="94"/>
        <v>390</v>
      </c>
      <c r="Y442" s="4">
        <f t="shared" si="95"/>
        <v>406.25</v>
      </c>
    </row>
    <row r="443" spans="1:25" ht="14.5" hidden="1" customHeight="1" outlineLevel="1" x14ac:dyDescent="0.35">
      <c r="A443" s="39" t="s">
        <v>1309</v>
      </c>
      <c r="B443" s="39" t="s">
        <v>109</v>
      </c>
      <c r="C443" s="39" t="s">
        <v>109</v>
      </c>
      <c r="D443" s="39" t="s">
        <v>120</v>
      </c>
      <c r="E443" s="40" t="s">
        <v>91</v>
      </c>
      <c r="F443" s="39" t="s">
        <v>41</v>
      </c>
      <c r="G443" s="39" t="s">
        <v>1310</v>
      </c>
      <c r="H443" s="41">
        <v>26</v>
      </c>
      <c r="I443" s="36">
        <f t="shared" si="89"/>
        <v>104000</v>
      </c>
      <c r="J443" s="37">
        <f t="shared" si="87"/>
        <v>1.3</v>
      </c>
      <c r="K443" s="37">
        <f t="shared" si="88"/>
        <v>1.95</v>
      </c>
      <c r="M443" s="37">
        <f t="shared" si="90"/>
        <v>0.8125</v>
      </c>
      <c r="O443" s="4">
        <f t="shared" si="91"/>
        <v>390000</v>
      </c>
      <c r="Q443" s="4">
        <f t="shared" si="92"/>
        <v>32500</v>
      </c>
      <c r="S443" s="4">
        <f t="shared" si="93"/>
        <v>1300</v>
      </c>
      <c r="U443" s="4">
        <f t="shared" si="96"/>
        <v>4680</v>
      </c>
      <c r="W443" s="4">
        <f t="shared" si="94"/>
        <v>390</v>
      </c>
      <c r="Y443" s="4">
        <f t="shared" si="95"/>
        <v>406.25</v>
      </c>
    </row>
    <row r="444" spans="1:25" ht="14.5" hidden="1" customHeight="1" outlineLevel="1" x14ac:dyDescent="0.35">
      <c r="A444" s="39" t="s">
        <v>1311</v>
      </c>
      <c r="B444" s="39" t="s">
        <v>109</v>
      </c>
      <c r="C444" s="39" t="s">
        <v>1312</v>
      </c>
      <c r="D444" s="39" t="s">
        <v>1313</v>
      </c>
      <c r="E444" s="40" t="s">
        <v>91</v>
      </c>
      <c r="F444" s="39" t="s">
        <v>41</v>
      </c>
      <c r="G444" s="39" t="s">
        <v>1314</v>
      </c>
      <c r="H444" s="41">
        <v>26</v>
      </c>
      <c r="I444" s="36">
        <f t="shared" si="89"/>
        <v>104000</v>
      </c>
      <c r="J444" s="37">
        <f t="shared" si="87"/>
        <v>1.3</v>
      </c>
      <c r="K444" s="37">
        <f t="shared" si="88"/>
        <v>1.95</v>
      </c>
      <c r="M444" s="37">
        <f t="shared" si="90"/>
        <v>0.8125</v>
      </c>
      <c r="O444" s="4">
        <f t="shared" si="91"/>
        <v>390000</v>
      </c>
      <c r="Q444" s="4">
        <f t="shared" si="92"/>
        <v>32500</v>
      </c>
      <c r="S444" s="4">
        <f t="shared" si="93"/>
        <v>1300</v>
      </c>
      <c r="U444" s="4">
        <f t="shared" si="96"/>
        <v>4680</v>
      </c>
      <c r="W444" s="4">
        <f t="shared" si="94"/>
        <v>390</v>
      </c>
      <c r="Y444" s="4">
        <f t="shared" si="95"/>
        <v>406.25</v>
      </c>
    </row>
    <row r="445" spans="1:25" ht="14.5" hidden="1" customHeight="1" outlineLevel="1" x14ac:dyDescent="0.35">
      <c r="A445" s="39" t="s">
        <v>1315</v>
      </c>
      <c r="B445" s="39" t="s">
        <v>109</v>
      </c>
      <c r="C445" s="39" t="s">
        <v>1316</v>
      </c>
      <c r="D445" s="39" t="s">
        <v>1317</v>
      </c>
      <c r="E445" s="40" t="s">
        <v>56</v>
      </c>
      <c r="F445" s="39" t="s">
        <v>41</v>
      </c>
      <c r="G445" s="39" t="s">
        <v>1318</v>
      </c>
      <c r="H445" s="41">
        <v>26</v>
      </c>
      <c r="I445" s="36">
        <f t="shared" si="89"/>
        <v>104000</v>
      </c>
      <c r="J445" s="37">
        <f t="shared" si="87"/>
        <v>1.3</v>
      </c>
      <c r="K445" s="37">
        <f t="shared" si="88"/>
        <v>1.95</v>
      </c>
      <c r="M445" s="37">
        <f t="shared" si="90"/>
        <v>0.8125</v>
      </c>
      <c r="O445" s="4">
        <f t="shared" si="91"/>
        <v>390000</v>
      </c>
      <c r="Q445" s="4">
        <f t="shared" si="92"/>
        <v>32500</v>
      </c>
      <c r="S445" s="4">
        <f t="shared" si="93"/>
        <v>1300</v>
      </c>
      <c r="U445" s="4">
        <f t="shared" si="96"/>
        <v>4680</v>
      </c>
      <c r="W445" s="4">
        <f t="shared" si="94"/>
        <v>390</v>
      </c>
      <c r="Y445" s="4">
        <f t="shared" si="95"/>
        <v>406.25</v>
      </c>
    </row>
    <row r="446" spans="1:25" ht="14.5" hidden="1" customHeight="1" outlineLevel="1" x14ac:dyDescent="0.35">
      <c r="A446" s="39" t="s">
        <v>1319</v>
      </c>
      <c r="B446" s="39" t="s">
        <v>109</v>
      </c>
      <c r="C446" s="39" t="s">
        <v>109</v>
      </c>
      <c r="D446" s="39" t="s">
        <v>1320</v>
      </c>
      <c r="E446" s="40" t="s">
        <v>95</v>
      </c>
      <c r="F446" s="39" t="s">
        <v>41</v>
      </c>
      <c r="G446" s="39" t="s">
        <v>110</v>
      </c>
      <c r="H446" s="41">
        <v>25</v>
      </c>
      <c r="I446" s="36">
        <f t="shared" si="89"/>
        <v>100000</v>
      </c>
      <c r="J446" s="37">
        <f t="shared" si="87"/>
        <v>1.25</v>
      </c>
      <c r="K446" s="37">
        <f t="shared" si="88"/>
        <v>1.875</v>
      </c>
      <c r="M446" s="37">
        <f t="shared" si="90"/>
        <v>0.78125</v>
      </c>
      <c r="O446" s="4">
        <f t="shared" si="91"/>
        <v>375000</v>
      </c>
      <c r="Q446" s="4">
        <f t="shared" si="92"/>
        <v>31250</v>
      </c>
      <c r="S446" s="4">
        <f t="shared" si="93"/>
        <v>1250</v>
      </c>
      <c r="U446" s="4">
        <f t="shared" si="96"/>
        <v>4500</v>
      </c>
      <c r="W446" s="4">
        <f t="shared" si="94"/>
        <v>375</v>
      </c>
      <c r="Y446" s="4">
        <f t="shared" si="95"/>
        <v>390.625</v>
      </c>
    </row>
    <row r="447" spans="1:25" ht="14.5" hidden="1" customHeight="1" outlineLevel="1" x14ac:dyDescent="0.35">
      <c r="A447" s="39" t="s">
        <v>1321</v>
      </c>
      <c r="B447" s="39" t="s">
        <v>109</v>
      </c>
      <c r="C447" s="39" t="s">
        <v>109</v>
      </c>
      <c r="D447" s="39" t="s">
        <v>1322</v>
      </c>
      <c r="E447" s="40" t="s">
        <v>40</v>
      </c>
      <c r="F447" s="39" t="s">
        <v>41</v>
      </c>
      <c r="G447" s="39" t="s">
        <v>1323</v>
      </c>
      <c r="H447" s="41">
        <v>25</v>
      </c>
      <c r="I447" s="36">
        <f t="shared" si="89"/>
        <v>100000</v>
      </c>
      <c r="J447" s="37">
        <f t="shared" si="87"/>
        <v>1.25</v>
      </c>
      <c r="K447" s="37">
        <f t="shared" si="88"/>
        <v>1.875</v>
      </c>
      <c r="M447" s="37">
        <f t="shared" si="90"/>
        <v>0.78125</v>
      </c>
      <c r="O447" s="4">
        <f t="shared" si="91"/>
        <v>375000</v>
      </c>
      <c r="Q447" s="4">
        <f t="shared" si="92"/>
        <v>31250</v>
      </c>
      <c r="S447" s="4">
        <f t="shared" si="93"/>
        <v>1250</v>
      </c>
      <c r="U447" s="4">
        <f t="shared" si="96"/>
        <v>4500</v>
      </c>
      <c r="W447" s="4">
        <f t="shared" si="94"/>
        <v>375</v>
      </c>
      <c r="Y447" s="4">
        <f t="shared" si="95"/>
        <v>390.625</v>
      </c>
    </row>
    <row r="448" spans="1:25" ht="14.5" hidden="1" customHeight="1" outlineLevel="1" x14ac:dyDescent="0.35">
      <c r="A448" s="39" t="s">
        <v>1324</v>
      </c>
      <c r="B448" s="39" t="s">
        <v>109</v>
      </c>
      <c r="C448" s="39" t="s">
        <v>109</v>
      </c>
      <c r="D448" s="39" t="s">
        <v>305</v>
      </c>
      <c r="E448" s="40" t="s">
        <v>302</v>
      </c>
      <c r="F448" s="39" t="s">
        <v>41</v>
      </c>
      <c r="G448" s="39" t="s">
        <v>1214</v>
      </c>
      <c r="H448" s="41">
        <v>25</v>
      </c>
      <c r="I448" s="36">
        <f t="shared" si="89"/>
        <v>100000</v>
      </c>
      <c r="J448" s="37">
        <f t="shared" si="87"/>
        <v>1.25</v>
      </c>
      <c r="K448" s="37">
        <f t="shared" si="88"/>
        <v>1.875</v>
      </c>
      <c r="M448" s="37">
        <f t="shared" si="90"/>
        <v>0.78125</v>
      </c>
      <c r="O448" s="4">
        <f t="shared" si="91"/>
        <v>375000</v>
      </c>
      <c r="Q448" s="4">
        <f t="shared" si="92"/>
        <v>31250</v>
      </c>
      <c r="S448" s="4">
        <f t="shared" si="93"/>
        <v>1250</v>
      </c>
      <c r="U448" s="4">
        <f t="shared" si="96"/>
        <v>4500</v>
      </c>
      <c r="W448" s="4">
        <f t="shared" si="94"/>
        <v>375</v>
      </c>
      <c r="Y448" s="4">
        <f t="shared" si="95"/>
        <v>390.625</v>
      </c>
    </row>
    <row r="449" spans="1:25" ht="14.5" hidden="1" customHeight="1" outlineLevel="1" x14ac:dyDescent="0.35">
      <c r="A449" s="39" t="s">
        <v>1325</v>
      </c>
      <c r="B449" s="39" t="s">
        <v>109</v>
      </c>
      <c r="C449" s="39" t="s">
        <v>109</v>
      </c>
      <c r="D449" s="39" t="s">
        <v>1326</v>
      </c>
      <c r="E449" s="40" t="s">
        <v>95</v>
      </c>
      <c r="F449" s="39" t="s">
        <v>41</v>
      </c>
      <c r="G449" s="39" t="s">
        <v>110</v>
      </c>
      <c r="H449" s="41">
        <v>25</v>
      </c>
      <c r="I449" s="36">
        <f t="shared" si="89"/>
        <v>100000</v>
      </c>
      <c r="J449" s="37">
        <f t="shared" si="87"/>
        <v>1.25</v>
      </c>
      <c r="K449" s="37">
        <f t="shared" si="88"/>
        <v>1.875</v>
      </c>
      <c r="M449" s="37">
        <f t="shared" si="90"/>
        <v>0.78125</v>
      </c>
      <c r="O449" s="4">
        <f t="shared" si="91"/>
        <v>375000</v>
      </c>
      <c r="Q449" s="4">
        <f t="shared" si="92"/>
        <v>31250</v>
      </c>
      <c r="S449" s="4">
        <f t="shared" si="93"/>
        <v>1250</v>
      </c>
      <c r="U449" s="4">
        <f t="shared" si="96"/>
        <v>4500</v>
      </c>
      <c r="W449" s="4">
        <f t="shared" si="94"/>
        <v>375</v>
      </c>
      <c r="Y449" s="4">
        <f t="shared" si="95"/>
        <v>390.625</v>
      </c>
    </row>
    <row r="450" spans="1:25" ht="14.5" hidden="1" customHeight="1" outlineLevel="1" x14ac:dyDescent="0.35">
      <c r="A450" s="39" t="s">
        <v>1327</v>
      </c>
      <c r="B450" s="39" t="s">
        <v>109</v>
      </c>
      <c r="C450" s="39" t="s">
        <v>1328</v>
      </c>
      <c r="D450" s="39" t="s">
        <v>305</v>
      </c>
      <c r="E450" s="40" t="s">
        <v>302</v>
      </c>
      <c r="F450" s="39" t="s">
        <v>41</v>
      </c>
      <c r="G450" s="39" t="s">
        <v>1329</v>
      </c>
      <c r="H450" s="41">
        <v>25</v>
      </c>
      <c r="I450" s="36">
        <f t="shared" si="89"/>
        <v>100000</v>
      </c>
      <c r="J450" s="37">
        <f t="shared" si="87"/>
        <v>1.25</v>
      </c>
      <c r="K450" s="37">
        <f t="shared" si="88"/>
        <v>1.875</v>
      </c>
      <c r="M450" s="37">
        <f t="shared" si="90"/>
        <v>0.78125</v>
      </c>
      <c r="O450" s="4">
        <f t="shared" si="91"/>
        <v>375000</v>
      </c>
      <c r="Q450" s="4">
        <f t="shared" si="92"/>
        <v>31250</v>
      </c>
      <c r="S450" s="4">
        <f t="shared" si="93"/>
        <v>1250</v>
      </c>
      <c r="U450" s="4">
        <f t="shared" si="96"/>
        <v>4500</v>
      </c>
      <c r="W450" s="4">
        <f t="shared" si="94"/>
        <v>375</v>
      </c>
      <c r="Y450" s="4">
        <f t="shared" si="95"/>
        <v>390.625</v>
      </c>
    </row>
    <row r="451" spans="1:25" ht="14.5" hidden="1" customHeight="1" outlineLevel="1" x14ac:dyDescent="0.35">
      <c r="A451" s="39" t="s">
        <v>1330</v>
      </c>
      <c r="B451" s="39" t="s">
        <v>109</v>
      </c>
      <c r="C451" s="39" t="s">
        <v>109</v>
      </c>
      <c r="D451" s="39" t="s">
        <v>460</v>
      </c>
      <c r="E451" s="40" t="s">
        <v>161</v>
      </c>
      <c r="F451" s="39" t="s">
        <v>101</v>
      </c>
      <c r="G451" s="39" t="s">
        <v>1331</v>
      </c>
      <c r="H451" s="41">
        <v>24</v>
      </c>
      <c r="I451" s="36">
        <f t="shared" si="89"/>
        <v>96000</v>
      </c>
      <c r="J451" s="37">
        <f t="shared" si="87"/>
        <v>1.2000000000000002</v>
      </c>
      <c r="K451" s="37">
        <f t="shared" si="88"/>
        <v>1.7999999999999998</v>
      </c>
      <c r="M451" s="37">
        <f t="shared" si="90"/>
        <v>0.75</v>
      </c>
      <c r="O451" s="4">
        <f t="shared" si="91"/>
        <v>360000</v>
      </c>
      <c r="Q451" s="4">
        <f t="shared" si="92"/>
        <v>30000</v>
      </c>
      <c r="S451" s="4">
        <f t="shared" si="93"/>
        <v>1200</v>
      </c>
      <c r="U451" s="4">
        <f t="shared" si="96"/>
        <v>4320</v>
      </c>
      <c r="W451" s="4">
        <f t="shared" si="94"/>
        <v>360</v>
      </c>
      <c r="Y451" s="4">
        <f t="shared" si="95"/>
        <v>375</v>
      </c>
    </row>
    <row r="452" spans="1:25" ht="14.5" hidden="1" customHeight="1" outlineLevel="1" x14ac:dyDescent="0.35">
      <c r="A452" s="39" t="s">
        <v>1332</v>
      </c>
      <c r="B452" s="39" t="s">
        <v>109</v>
      </c>
      <c r="C452" s="39" t="s">
        <v>1333</v>
      </c>
      <c r="D452" s="39" t="s">
        <v>1334</v>
      </c>
      <c r="E452" s="40" t="s">
        <v>186</v>
      </c>
      <c r="F452" s="39" t="s">
        <v>41</v>
      </c>
      <c r="G452" s="39" t="s">
        <v>110</v>
      </c>
      <c r="H452" s="41">
        <v>24</v>
      </c>
      <c r="I452" s="36">
        <f t="shared" si="89"/>
        <v>96000</v>
      </c>
      <c r="J452" s="37">
        <f t="shared" si="87"/>
        <v>1.2000000000000002</v>
      </c>
      <c r="K452" s="37">
        <f t="shared" si="88"/>
        <v>1.7999999999999998</v>
      </c>
      <c r="M452" s="37">
        <f t="shared" si="90"/>
        <v>0.75</v>
      </c>
      <c r="O452" s="4">
        <f t="shared" si="91"/>
        <v>360000</v>
      </c>
      <c r="Q452" s="4">
        <f t="shared" si="92"/>
        <v>30000</v>
      </c>
      <c r="S452" s="4">
        <f t="shared" si="93"/>
        <v>1200</v>
      </c>
      <c r="U452" s="4">
        <f t="shared" si="96"/>
        <v>4320</v>
      </c>
      <c r="W452" s="4">
        <f t="shared" si="94"/>
        <v>360</v>
      </c>
      <c r="Y452" s="4">
        <f t="shared" si="95"/>
        <v>375</v>
      </c>
    </row>
    <row r="453" spans="1:25" ht="14.5" hidden="1" customHeight="1" outlineLevel="1" x14ac:dyDescent="0.35">
      <c r="A453" s="39" t="s">
        <v>1335</v>
      </c>
      <c r="B453" s="39" t="s">
        <v>768</v>
      </c>
      <c r="C453" s="39" t="s">
        <v>1336</v>
      </c>
      <c r="D453" s="39" t="s">
        <v>1337</v>
      </c>
      <c r="E453" s="40" t="s">
        <v>222</v>
      </c>
      <c r="F453" s="39" t="s">
        <v>41</v>
      </c>
      <c r="G453" s="39" t="s">
        <v>1338</v>
      </c>
      <c r="H453" s="41">
        <v>24</v>
      </c>
      <c r="I453" s="36">
        <f t="shared" si="89"/>
        <v>96000</v>
      </c>
      <c r="J453" s="37">
        <f t="shared" si="87"/>
        <v>1.2000000000000002</v>
      </c>
      <c r="K453" s="37">
        <f t="shared" si="88"/>
        <v>1.7999999999999998</v>
      </c>
      <c r="M453" s="37">
        <f t="shared" si="90"/>
        <v>0.75</v>
      </c>
      <c r="O453" s="4">
        <f t="shared" si="91"/>
        <v>360000</v>
      </c>
      <c r="Q453" s="4">
        <f t="shared" si="92"/>
        <v>30000</v>
      </c>
      <c r="S453" s="4">
        <f t="shared" si="93"/>
        <v>1200</v>
      </c>
      <c r="U453" s="4">
        <f t="shared" si="96"/>
        <v>4320</v>
      </c>
      <c r="W453" s="4">
        <f t="shared" si="94"/>
        <v>360</v>
      </c>
      <c r="Y453" s="4">
        <f t="shared" si="95"/>
        <v>375</v>
      </c>
    </row>
    <row r="454" spans="1:25" ht="14.5" hidden="1" customHeight="1" outlineLevel="1" x14ac:dyDescent="0.35">
      <c r="A454" s="39" t="s">
        <v>1339</v>
      </c>
      <c r="B454" s="39" t="s">
        <v>109</v>
      </c>
      <c r="C454" s="39" t="s">
        <v>1340</v>
      </c>
      <c r="D454" s="39" t="s">
        <v>1341</v>
      </c>
      <c r="E454" s="40" t="s">
        <v>1166</v>
      </c>
      <c r="F454" s="39" t="s">
        <v>41</v>
      </c>
      <c r="G454" s="39" t="s">
        <v>1342</v>
      </c>
      <c r="H454" s="41">
        <v>23</v>
      </c>
      <c r="I454" s="36">
        <f t="shared" si="89"/>
        <v>92000</v>
      </c>
      <c r="J454" s="37">
        <f t="shared" si="87"/>
        <v>1.1500000000000001</v>
      </c>
      <c r="K454" s="37">
        <f t="shared" si="88"/>
        <v>1.7249999999999999</v>
      </c>
      <c r="M454" s="37">
        <f t="shared" si="90"/>
        <v>0.71875</v>
      </c>
      <c r="O454" s="4">
        <f t="shared" si="91"/>
        <v>345000</v>
      </c>
      <c r="Q454" s="4">
        <f t="shared" si="92"/>
        <v>28750</v>
      </c>
      <c r="S454" s="4">
        <f t="shared" si="93"/>
        <v>1150</v>
      </c>
      <c r="U454" s="4">
        <f t="shared" si="96"/>
        <v>4140</v>
      </c>
      <c r="W454" s="4">
        <f t="shared" si="94"/>
        <v>345</v>
      </c>
      <c r="Y454" s="4">
        <f t="shared" si="95"/>
        <v>359.375</v>
      </c>
    </row>
    <row r="455" spans="1:25" ht="14.5" hidden="1" customHeight="1" outlineLevel="1" x14ac:dyDescent="0.35">
      <c r="A455" s="39" t="s">
        <v>1343</v>
      </c>
      <c r="B455" s="39" t="s">
        <v>109</v>
      </c>
      <c r="C455" s="39" t="s">
        <v>109</v>
      </c>
      <c r="D455" s="39" t="s">
        <v>1344</v>
      </c>
      <c r="E455" s="40" t="s">
        <v>230</v>
      </c>
      <c r="F455" s="39" t="s">
        <v>41</v>
      </c>
      <c r="G455" s="39" t="s">
        <v>110</v>
      </c>
      <c r="H455" s="41">
        <v>23</v>
      </c>
      <c r="I455" s="36">
        <f t="shared" si="89"/>
        <v>92000</v>
      </c>
      <c r="J455" s="37">
        <f t="shared" si="87"/>
        <v>1.1500000000000001</v>
      </c>
      <c r="K455" s="37">
        <f t="shared" si="88"/>
        <v>1.7249999999999999</v>
      </c>
      <c r="M455" s="37">
        <f t="shared" si="90"/>
        <v>0.71875</v>
      </c>
      <c r="O455" s="4">
        <f t="shared" si="91"/>
        <v>345000</v>
      </c>
      <c r="Q455" s="4">
        <f t="shared" si="92"/>
        <v>28750</v>
      </c>
      <c r="S455" s="4">
        <f t="shared" si="93"/>
        <v>1150</v>
      </c>
      <c r="U455" s="4">
        <f t="shared" si="96"/>
        <v>4140</v>
      </c>
      <c r="W455" s="4">
        <f t="shared" si="94"/>
        <v>345</v>
      </c>
      <c r="Y455" s="4">
        <f t="shared" si="95"/>
        <v>359.375</v>
      </c>
    </row>
    <row r="456" spans="1:25" ht="14.5" hidden="1" customHeight="1" outlineLevel="1" x14ac:dyDescent="0.35">
      <c r="A456" s="39" t="s">
        <v>1345</v>
      </c>
      <c r="B456" s="39" t="s">
        <v>1346</v>
      </c>
      <c r="C456" s="39" t="s">
        <v>1347</v>
      </c>
      <c r="D456" s="39" t="s">
        <v>1219</v>
      </c>
      <c r="E456" s="40" t="s">
        <v>302</v>
      </c>
      <c r="F456" s="39" t="s">
        <v>41</v>
      </c>
      <c r="G456" s="39" t="s">
        <v>1220</v>
      </c>
      <c r="H456" s="41">
        <v>23</v>
      </c>
      <c r="I456" s="36">
        <f t="shared" si="89"/>
        <v>92000</v>
      </c>
      <c r="J456" s="37">
        <f t="shared" si="87"/>
        <v>1.1500000000000001</v>
      </c>
      <c r="K456" s="37">
        <f t="shared" si="88"/>
        <v>1.7249999999999999</v>
      </c>
      <c r="M456" s="37">
        <f t="shared" si="90"/>
        <v>0.71875</v>
      </c>
      <c r="O456" s="4">
        <f t="shared" si="91"/>
        <v>345000</v>
      </c>
      <c r="Q456" s="4">
        <f t="shared" si="92"/>
        <v>28750</v>
      </c>
      <c r="S456" s="4">
        <f t="shared" si="93"/>
        <v>1150</v>
      </c>
      <c r="U456" s="4">
        <f t="shared" si="96"/>
        <v>4140</v>
      </c>
      <c r="W456" s="4">
        <f t="shared" si="94"/>
        <v>345</v>
      </c>
      <c r="Y456" s="4">
        <f t="shared" si="95"/>
        <v>359.375</v>
      </c>
    </row>
    <row r="457" spans="1:25" ht="14.5" hidden="1" customHeight="1" outlineLevel="1" x14ac:dyDescent="0.35">
      <c r="A457" s="39" t="s">
        <v>1348</v>
      </c>
      <c r="B457" s="39" t="s">
        <v>109</v>
      </c>
      <c r="C457" s="39" t="s">
        <v>109</v>
      </c>
      <c r="D457" s="39" t="s">
        <v>1349</v>
      </c>
      <c r="E457" s="40" t="s">
        <v>91</v>
      </c>
      <c r="F457" s="39" t="s">
        <v>41</v>
      </c>
      <c r="G457" s="39" t="s">
        <v>1350</v>
      </c>
      <c r="H457" s="41">
        <v>22</v>
      </c>
      <c r="I457" s="36">
        <f t="shared" si="89"/>
        <v>88000</v>
      </c>
      <c r="J457" s="37">
        <f t="shared" si="87"/>
        <v>1.1000000000000001</v>
      </c>
      <c r="K457" s="37">
        <f t="shared" si="88"/>
        <v>1.65</v>
      </c>
      <c r="M457" s="37">
        <f t="shared" si="90"/>
        <v>0.6875</v>
      </c>
      <c r="O457" s="4">
        <f t="shared" si="91"/>
        <v>330000</v>
      </c>
      <c r="Q457" s="4">
        <f t="shared" si="92"/>
        <v>27500</v>
      </c>
      <c r="S457" s="4">
        <f t="shared" si="93"/>
        <v>1100</v>
      </c>
      <c r="U457" s="4">
        <f t="shared" si="96"/>
        <v>3960</v>
      </c>
      <c r="W457" s="4">
        <f t="shared" si="94"/>
        <v>330</v>
      </c>
      <c r="Y457" s="4">
        <f t="shared" si="95"/>
        <v>343.75</v>
      </c>
    </row>
    <row r="458" spans="1:25" ht="14.5" hidden="1" customHeight="1" outlineLevel="1" x14ac:dyDescent="0.35">
      <c r="A458" s="39" t="s">
        <v>1351</v>
      </c>
      <c r="B458" s="39" t="s">
        <v>109</v>
      </c>
      <c r="C458" s="39" t="s">
        <v>1352</v>
      </c>
      <c r="D458" s="39" t="s">
        <v>1353</v>
      </c>
      <c r="E458" s="40" t="s">
        <v>78</v>
      </c>
      <c r="F458" s="39" t="s">
        <v>41</v>
      </c>
      <c r="G458" s="39" t="s">
        <v>110</v>
      </c>
      <c r="H458" s="41">
        <v>22</v>
      </c>
      <c r="I458" s="36">
        <f t="shared" si="89"/>
        <v>88000</v>
      </c>
      <c r="J458" s="37">
        <f t="shared" si="87"/>
        <v>1.1000000000000001</v>
      </c>
      <c r="K458" s="37">
        <f t="shared" si="88"/>
        <v>1.65</v>
      </c>
      <c r="M458" s="37">
        <f t="shared" si="90"/>
        <v>0.6875</v>
      </c>
      <c r="O458" s="4">
        <f t="shared" si="91"/>
        <v>330000</v>
      </c>
      <c r="Q458" s="4">
        <f t="shared" si="92"/>
        <v>27500</v>
      </c>
      <c r="S458" s="4">
        <f t="shared" si="93"/>
        <v>1100</v>
      </c>
      <c r="U458" s="4">
        <f t="shared" si="96"/>
        <v>3960</v>
      </c>
      <c r="W458" s="4">
        <f t="shared" si="94"/>
        <v>330</v>
      </c>
      <c r="Y458" s="4">
        <f t="shared" si="95"/>
        <v>343.75</v>
      </c>
    </row>
    <row r="459" spans="1:25" ht="14.5" hidden="1" customHeight="1" outlineLevel="1" x14ac:dyDescent="0.35">
      <c r="A459" s="39" t="s">
        <v>1354</v>
      </c>
      <c r="B459" s="39" t="s">
        <v>959</v>
      </c>
      <c r="C459" s="39" t="s">
        <v>109</v>
      </c>
      <c r="D459" s="39" t="s">
        <v>366</v>
      </c>
      <c r="E459" s="40" t="s">
        <v>367</v>
      </c>
      <c r="F459" s="39" t="s">
        <v>41</v>
      </c>
      <c r="G459" s="39" t="s">
        <v>1355</v>
      </c>
      <c r="H459" s="41">
        <v>22</v>
      </c>
      <c r="I459" s="36">
        <f t="shared" si="89"/>
        <v>88000</v>
      </c>
      <c r="J459" s="37">
        <f t="shared" si="87"/>
        <v>1.1000000000000001</v>
      </c>
      <c r="K459" s="37">
        <f t="shared" si="88"/>
        <v>1.65</v>
      </c>
      <c r="M459" s="37">
        <f t="shared" si="90"/>
        <v>0.6875</v>
      </c>
      <c r="O459" s="4">
        <f t="shared" si="91"/>
        <v>330000</v>
      </c>
      <c r="Q459" s="4">
        <f t="shared" si="92"/>
        <v>27500</v>
      </c>
      <c r="S459" s="4">
        <f t="shared" si="93"/>
        <v>1100</v>
      </c>
      <c r="U459" s="4">
        <f t="shared" si="96"/>
        <v>3960</v>
      </c>
      <c r="W459" s="4">
        <f t="shared" si="94"/>
        <v>330</v>
      </c>
      <c r="Y459" s="4">
        <f t="shared" si="95"/>
        <v>343.75</v>
      </c>
    </row>
    <row r="460" spans="1:25" ht="14.5" hidden="1" customHeight="1" outlineLevel="1" x14ac:dyDescent="0.35">
      <c r="A460" s="39" t="s">
        <v>1356</v>
      </c>
      <c r="B460" s="39" t="s">
        <v>109</v>
      </c>
      <c r="C460" s="39" t="s">
        <v>109</v>
      </c>
      <c r="D460" s="39" t="s">
        <v>1357</v>
      </c>
      <c r="E460" s="40" t="s">
        <v>165</v>
      </c>
      <c r="F460" s="39" t="s">
        <v>41</v>
      </c>
      <c r="G460" s="39" t="s">
        <v>1358</v>
      </c>
      <c r="H460" s="41">
        <v>21</v>
      </c>
      <c r="I460" s="36">
        <f t="shared" si="89"/>
        <v>84000</v>
      </c>
      <c r="J460" s="37">
        <f t="shared" si="87"/>
        <v>1.05</v>
      </c>
      <c r="K460" s="37">
        <f t="shared" si="88"/>
        <v>1.575</v>
      </c>
      <c r="M460" s="37">
        <f t="shared" si="90"/>
        <v>0.65625</v>
      </c>
      <c r="O460" s="4">
        <f t="shared" si="91"/>
        <v>315000</v>
      </c>
      <c r="Q460" s="4">
        <f t="shared" si="92"/>
        <v>26250</v>
      </c>
      <c r="S460" s="4">
        <f t="shared" si="93"/>
        <v>1050</v>
      </c>
      <c r="U460" s="4">
        <f t="shared" si="96"/>
        <v>3780</v>
      </c>
      <c r="W460" s="4">
        <f t="shared" si="94"/>
        <v>315</v>
      </c>
      <c r="Y460" s="4">
        <f t="shared" si="95"/>
        <v>328.125</v>
      </c>
    </row>
    <row r="461" spans="1:25" ht="14.5" hidden="1" customHeight="1" outlineLevel="1" x14ac:dyDescent="0.35">
      <c r="A461" s="39" t="s">
        <v>1359</v>
      </c>
      <c r="B461" s="39" t="s">
        <v>109</v>
      </c>
      <c r="C461" s="39" t="s">
        <v>109</v>
      </c>
      <c r="D461" s="39" t="s">
        <v>1360</v>
      </c>
      <c r="E461" s="40" t="s">
        <v>61</v>
      </c>
      <c r="F461" s="39" t="s">
        <v>41</v>
      </c>
      <c r="G461" s="39" t="s">
        <v>110</v>
      </c>
      <c r="H461" s="41">
        <v>21</v>
      </c>
      <c r="I461" s="36">
        <f t="shared" si="89"/>
        <v>84000</v>
      </c>
      <c r="J461" s="37">
        <f t="shared" si="87"/>
        <v>1.05</v>
      </c>
      <c r="K461" s="37">
        <f t="shared" si="88"/>
        <v>1.575</v>
      </c>
      <c r="M461" s="37">
        <f t="shared" si="90"/>
        <v>0.65625</v>
      </c>
      <c r="O461" s="4">
        <f t="shared" si="91"/>
        <v>315000</v>
      </c>
      <c r="Q461" s="4">
        <f t="shared" si="92"/>
        <v>26250</v>
      </c>
      <c r="S461" s="4">
        <f t="shared" si="93"/>
        <v>1050</v>
      </c>
      <c r="U461" s="4">
        <f t="shared" si="96"/>
        <v>3780</v>
      </c>
      <c r="W461" s="4">
        <f t="shared" si="94"/>
        <v>315</v>
      </c>
      <c r="Y461" s="4">
        <f t="shared" si="95"/>
        <v>328.125</v>
      </c>
    </row>
    <row r="462" spans="1:25" ht="14.5" hidden="1" customHeight="1" outlineLevel="1" x14ac:dyDescent="0.35">
      <c r="A462" s="39" t="s">
        <v>1361</v>
      </c>
      <c r="B462" s="39" t="s">
        <v>109</v>
      </c>
      <c r="C462" s="39" t="s">
        <v>1362</v>
      </c>
      <c r="D462" s="39" t="s">
        <v>1363</v>
      </c>
      <c r="E462" s="40" t="s">
        <v>186</v>
      </c>
      <c r="F462" s="39" t="s">
        <v>41</v>
      </c>
      <c r="G462" s="39" t="s">
        <v>1364</v>
      </c>
      <c r="H462" s="41">
        <v>21</v>
      </c>
      <c r="I462" s="36">
        <f t="shared" si="89"/>
        <v>84000</v>
      </c>
      <c r="J462" s="37">
        <f t="shared" si="87"/>
        <v>1.05</v>
      </c>
      <c r="K462" s="37">
        <f t="shared" si="88"/>
        <v>1.575</v>
      </c>
      <c r="M462" s="37">
        <f t="shared" si="90"/>
        <v>0.65625</v>
      </c>
      <c r="O462" s="4">
        <f t="shared" si="91"/>
        <v>315000</v>
      </c>
      <c r="Q462" s="4">
        <f t="shared" si="92"/>
        <v>26250</v>
      </c>
      <c r="S462" s="4">
        <f t="shared" si="93"/>
        <v>1050</v>
      </c>
      <c r="U462" s="4">
        <f t="shared" si="96"/>
        <v>3780</v>
      </c>
      <c r="W462" s="4">
        <f t="shared" si="94"/>
        <v>315</v>
      </c>
      <c r="Y462" s="4">
        <f t="shared" si="95"/>
        <v>328.125</v>
      </c>
    </row>
    <row r="463" spans="1:25" ht="14.5" hidden="1" customHeight="1" outlineLevel="1" x14ac:dyDescent="0.35">
      <c r="A463" s="39" t="s">
        <v>1365</v>
      </c>
      <c r="B463" s="39" t="s">
        <v>109</v>
      </c>
      <c r="C463" s="39" t="s">
        <v>1366</v>
      </c>
      <c r="D463" s="39" t="s">
        <v>1367</v>
      </c>
      <c r="E463" s="40" t="s">
        <v>126</v>
      </c>
      <c r="F463" s="39" t="s">
        <v>41</v>
      </c>
      <c r="G463" s="39" t="s">
        <v>1368</v>
      </c>
      <c r="H463" s="41">
        <v>21</v>
      </c>
      <c r="I463" s="36">
        <f t="shared" si="89"/>
        <v>84000</v>
      </c>
      <c r="J463" s="37">
        <f t="shared" si="87"/>
        <v>1.05</v>
      </c>
      <c r="K463" s="37">
        <f t="shared" si="88"/>
        <v>1.575</v>
      </c>
      <c r="M463" s="37">
        <f t="shared" si="90"/>
        <v>0.65625</v>
      </c>
      <c r="O463" s="4">
        <f t="shared" si="91"/>
        <v>315000</v>
      </c>
      <c r="Q463" s="4">
        <f t="shared" si="92"/>
        <v>26250</v>
      </c>
      <c r="S463" s="4">
        <f t="shared" si="93"/>
        <v>1050</v>
      </c>
      <c r="U463" s="4">
        <f t="shared" si="96"/>
        <v>3780</v>
      </c>
      <c r="W463" s="4">
        <f t="shared" si="94"/>
        <v>315</v>
      </c>
      <c r="Y463" s="4">
        <f t="shared" si="95"/>
        <v>328.125</v>
      </c>
    </row>
    <row r="464" spans="1:25" ht="14.5" hidden="1" customHeight="1" outlineLevel="1" x14ac:dyDescent="0.35">
      <c r="A464" s="39" t="s">
        <v>1369</v>
      </c>
      <c r="B464" s="39" t="s">
        <v>109</v>
      </c>
      <c r="C464" s="39" t="s">
        <v>1370</v>
      </c>
      <c r="D464" s="39" t="s">
        <v>1056</v>
      </c>
      <c r="E464" s="40" t="s">
        <v>255</v>
      </c>
      <c r="F464" s="39" t="s">
        <v>41</v>
      </c>
      <c r="G464" s="39" t="s">
        <v>1057</v>
      </c>
      <c r="H464" s="41">
        <v>20</v>
      </c>
      <c r="I464" s="36">
        <f t="shared" si="89"/>
        <v>80000</v>
      </c>
      <c r="J464" s="37">
        <f t="shared" si="87"/>
        <v>1</v>
      </c>
      <c r="K464" s="37">
        <f t="shared" si="88"/>
        <v>1.5</v>
      </c>
      <c r="M464" s="37">
        <f t="shared" si="90"/>
        <v>0.625</v>
      </c>
      <c r="O464" s="4">
        <f t="shared" si="91"/>
        <v>300000</v>
      </c>
      <c r="Q464" s="4">
        <f t="shared" si="92"/>
        <v>25000</v>
      </c>
      <c r="S464" s="4">
        <f t="shared" si="93"/>
        <v>1000</v>
      </c>
      <c r="U464" s="4">
        <f t="shared" si="96"/>
        <v>3600</v>
      </c>
      <c r="W464" s="4">
        <f t="shared" si="94"/>
        <v>300</v>
      </c>
      <c r="Y464" s="4">
        <f t="shared" si="95"/>
        <v>312.5</v>
      </c>
    </row>
    <row r="465" spans="1:25" ht="14.5" hidden="1" customHeight="1" outlineLevel="1" x14ac:dyDescent="0.35">
      <c r="A465" s="39" t="s">
        <v>1371</v>
      </c>
      <c r="B465" s="39" t="s">
        <v>109</v>
      </c>
      <c r="C465" s="39" t="s">
        <v>109</v>
      </c>
      <c r="D465" s="39" t="s">
        <v>1372</v>
      </c>
      <c r="E465" s="40" t="s">
        <v>246</v>
      </c>
      <c r="F465" s="39" t="s">
        <v>41</v>
      </c>
      <c r="G465" s="39" t="s">
        <v>1373</v>
      </c>
      <c r="H465" s="41">
        <v>20</v>
      </c>
      <c r="I465" s="36">
        <f t="shared" si="89"/>
        <v>80000</v>
      </c>
      <c r="J465" s="37">
        <f t="shared" si="87"/>
        <v>1</v>
      </c>
      <c r="K465" s="37">
        <f t="shared" si="88"/>
        <v>1.5</v>
      </c>
      <c r="M465" s="37">
        <f t="shared" si="90"/>
        <v>0.625</v>
      </c>
      <c r="O465" s="4">
        <f t="shared" si="91"/>
        <v>300000</v>
      </c>
      <c r="Q465" s="4">
        <f t="shared" si="92"/>
        <v>25000</v>
      </c>
      <c r="S465" s="4">
        <f t="shared" si="93"/>
        <v>1000</v>
      </c>
      <c r="U465" s="4">
        <f t="shared" si="96"/>
        <v>3600</v>
      </c>
      <c r="W465" s="4">
        <f t="shared" si="94"/>
        <v>300</v>
      </c>
      <c r="Y465" s="4">
        <f t="shared" si="95"/>
        <v>312.5</v>
      </c>
    </row>
    <row r="466" spans="1:25" ht="14.5" hidden="1" customHeight="1" outlineLevel="1" x14ac:dyDescent="0.35">
      <c r="A466" s="39" t="s">
        <v>1374</v>
      </c>
      <c r="B466" s="39" t="s">
        <v>109</v>
      </c>
      <c r="C466" s="39" t="s">
        <v>109</v>
      </c>
      <c r="D466" s="39" t="s">
        <v>1375</v>
      </c>
      <c r="E466" s="40" t="s">
        <v>165</v>
      </c>
      <c r="F466" s="39" t="s">
        <v>41</v>
      </c>
      <c r="G466" s="39" t="s">
        <v>1236</v>
      </c>
      <c r="H466" s="41">
        <v>20</v>
      </c>
      <c r="I466" s="36">
        <f t="shared" si="89"/>
        <v>80000</v>
      </c>
      <c r="J466" s="37">
        <f t="shared" si="87"/>
        <v>1</v>
      </c>
      <c r="K466" s="37">
        <f t="shared" si="88"/>
        <v>1.5</v>
      </c>
      <c r="M466" s="37">
        <f t="shared" si="90"/>
        <v>0.625</v>
      </c>
      <c r="O466" s="4">
        <f t="shared" si="91"/>
        <v>300000</v>
      </c>
      <c r="Q466" s="4">
        <f t="shared" si="92"/>
        <v>25000</v>
      </c>
      <c r="S466" s="4">
        <f t="shared" si="93"/>
        <v>1000</v>
      </c>
      <c r="U466" s="4">
        <f t="shared" si="96"/>
        <v>3600</v>
      </c>
      <c r="W466" s="4">
        <f t="shared" si="94"/>
        <v>300</v>
      </c>
      <c r="Y466" s="4">
        <f t="shared" si="95"/>
        <v>312.5</v>
      </c>
    </row>
    <row r="467" spans="1:25" ht="14.5" hidden="1" customHeight="1" outlineLevel="1" x14ac:dyDescent="0.35">
      <c r="A467" s="39" t="s">
        <v>1376</v>
      </c>
      <c r="B467" s="39" t="s">
        <v>109</v>
      </c>
      <c r="C467" s="39" t="s">
        <v>109</v>
      </c>
      <c r="D467" s="39" t="s">
        <v>1377</v>
      </c>
      <c r="E467" s="40" t="s">
        <v>1018</v>
      </c>
      <c r="F467" s="39" t="s">
        <v>41</v>
      </c>
      <c r="G467" s="39" t="s">
        <v>1378</v>
      </c>
      <c r="H467" s="41">
        <v>19</v>
      </c>
      <c r="I467" s="36">
        <f t="shared" si="89"/>
        <v>76000</v>
      </c>
      <c r="J467" s="37">
        <f t="shared" si="87"/>
        <v>0.95000000000000007</v>
      </c>
      <c r="K467" s="37">
        <f t="shared" si="88"/>
        <v>1.425</v>
      </c>
      <c r="M467" s="37">
        <f t="shared" si="90"/>
        <v>0.59375</v>
      </c>
      <c r="O467" s="4">
        <f t="shared" si="91"/>
        <v>285000</v>
      </c>
      <c r="Q467" s="4">
        <f t="shared" si="92"/>
        <v>23750</v>
      </c>
      <c r="S467" s="4">
        <f t="shared" si="93"/>
        <v>950</v>
      </c>
      <c r="U467" s="4">
        <f t="shared" si="96"/>
        <v>3420</v>
      </c>
      <c r="W467" s="4">
        <f t="shared" si="94"/>
        <v>285</v>
      </c>
      <c r="Y467" s="4">
        <f t="shared" si="95"/>
        <v>296.875</v>
      </c>
    </row>
    <row r="468" spans="1:25" ht="14.5" hidden="1" customHeight="1" outlineLevel="1" x14ac:dyDescent="0.35">
      <c r="A468" s="39" t="s">
        <v>1379</v>
      </c>
      <c r="B468" s="39" t="s">
        <v>109</v>
      </c>
      <c r="C468" s="39" t="s">
        <v>1038</v>
      </c>
      <c r="D468" s="39" t="s">
        <v>1380</v>
      </c>
      <c r="E468" s="40" t="s">
        <v>255</v>
      </c>
      <c r="F468" s="39" t="s">
        <v>41</v>
      </c>
      <c r="G468" s="39" t="s">
        <v>1381</v>
      </c>
      <c r="H468" s="41">
        <v>19</v>
      </c>
      <c r="I468" s="36">
        <f t="shared" si="89"/>
        <v>76000</v>
      </c>
      <c r="J468" s="37">
        <f t="shared" si="87"/>
        <v>0.95000000000000007</v>
      </c>
      <c r="K468" s="37">
        <f t="shared" si="88"/>
        <v>1.425</v>
      </c>
      <c r="M468" s="37">
        <f t="shared" si="90"/>
        <v>0.59375</v>
      </c>
      <c r="O468" s="4">
        <f t="shared" si="91"/>
        <v>285000</v>
      </c>
      <c r="Q468" s="4">
        <f t="shared" si="92"/>
        <v>23750</v>
      </c>
      <c r="S468" s="4">
        <f t="shared" si="93"/>
        <v>950</v>
      </c>
      <c r="U468" s="4">
        <f t="shared" si="96"/>
        <v>3420</v>
      </c>
      <c r="W468" s="4">
        <f t="shared" si="94"/>
        <v>285</v>
      </c>
      <c r="Y468" s="4">
        <f t="shared" si="95"/>
        <v>296.875</v>
      </c>
    </row>
    <row r="469" spans="1:25" ht="14.5" hidden="1" customHeight="1" outlineLevel="1" x14ac:dyDescent="0.35">
      <c r="A469" s="39" t="s">
        <v>1382</v>
      </c>
      <c r="B469" s="39" t="s">
        <v>109</v>
      </c>
      <c r="C469" s="39" t="s">
        <v>1383</v>
      </c>
      <c r="D469" s="39" t="s">
        <v>1384</v>
      </c>
      <c r="E469" s="40" t="s">
        <v>238</v>
      </c>
      <c r="F469" s="39" t="s">
        <v>41</v>
      </c>
      <c r="G469" s="39" t="s">
        <v>1385</v>
      </c>
      <c r="H469" s="41">
        <v>18</v>
      </c>
      <c r="I469" s="36">
        <f t="shared" si="89"/>
        <v>72000</v>
      </c>
      <c r="J469" s="37">
        <f t="shared" si="87"/>
        <v>0.9</v>
      </c>
      <c r="K469" s="37">
        <f t="shared" si="88"/>
        <v>1.3499999999999999</v>
      </c>
      <c r="M469" s="37">
        <f t="shared" si="90"/>
        <v>0.5625</v>
      </c>
      <c r="O469" s="4">
        <f t="shared" si="91"/>
        <v>270000</v>
      </c>
      <c r="Q469" s="4">
        <f t="shared" si="92"/>
        <v>22500</v>
      </c>
      <c r="S469" s="4">
        <f t="shared" si="93"/>
        <v>900</v>
      </c>
      <c r="U469" s="4">
        <f t="shared" si="96"/>
        <v>3240</v>
      </c>
      <c r="W469" s="4">
        <f t="shared" si="94"/>
        <v>270</v>
      </c>
      <c r="Y469" s="4">
        <f t="shared" si="95"/>
        <v>281.25</v>
      </c>
    </row>
    <row r="470" spans="1:25" ht="14.5" hidden="1" customHeight="1" outlineLevel="1" x14ac:dyDescent="0.35">
      <c r="A470" s="39" t="s">
        <v>1386</v>
      </c>
      <c r="B470" s="39" t="s">
        <v>109</v>
      </c>
      <c r="C470" s="39" t="s">
        <v>109</v>
      </c>
      <c r="D470" s="39" t="s">
        <v>1387</v>
      </c>
      <c r="E470" s="40" t="s">
        <v>302</v>
      </c>
      <c r="F470" s="39" t="s">
        <v>41</v>
      </c>
      <c r="G470" s="39" t="s">
        <v>1388</v>
      </c>
      <c r="H470" s="41">
        <v>18</v>
      </c>
      <c r="I470" s="36">
        <f t="shared" si="89"/>
        <v>72000</v>
      </c>
      <c r="J470" s="37">
        <f t="shared" si="87"/>
        <v>0.9</v>
      </c>
      <c r="K470" s="37">
        <f t="shared" si="88"/>
        <v>1.3499999999999999</v>
      </c>
      <c r="M470" s="37">
        <f t="shared" si="90"/>
        <v>0.5625</v>
      </c>
      <c r="O470" s="4">
        <f t="shared" si="91"/>
        <v>270000</v>
      </c>
      <c r="Q470" s="4">
        <f t="shared" si="92"/>
        <v>22500</v>
      </c>
      <c r="S470" s="4">
        <f t="shared" si="93"/>
        <v>900</v>
      </c>
      <c r="U470" s="4">
        <f t="shared" si="96"/>
        <v>3240</v>
      </c>
      <c r="W470" s="4">
        <f t="shared" si="94"/>
        <v>270</v>
      </c>
      <c r="Y470" s="4">
        <f t="shared" si="95"/>
        <v>281.25</v>
      </c>
    </row>
    <row r="471" spans="1:25" ht="14.5" hidden="1" customHeight="1" outlineLevel="1" x14ac:dyDescent="0.35">
      <c r="A471" s="39" t="s">
        <v>1389</v>
      </c>
      <c r="B471" s="39" t="s">
        <v>109</v>
      </c>
      <c r="C471" s="39" t="s">
        <v>1390</v>
      </c>
      <c r="D471" s="39" t="s">
        <v>444</v>
      </c>
      <c r="E471" s="40" t="s">
        <v>51</v>
      </c>
      <c r="F471" s="39" t="s">
        <v>41</v>
      </c>
      <c r="G471" s="39" t="s">
        <v>110</v>
      </c>
      <c r="H471" s="41">
        <v>18</v>
      </c>
      <c r="I471" s="36">
        <f t="shared" si="89"/>
        <v>72000</v>
      </c>
      <c r="J471" s="37">
        <f t="shared" si="87"/>
        <v>0.9</v>
      </c>
      <c r="K471" s="37">
        <f t="shared" si="88"/>
        <v>1.3499999999999999</v>
      </c>
      <c r="M471" s="37">
        <f t="shared" si="90"/>
        <v>0.5625</v>
      </c>
      <c r="O471" s="4">
        <f t="shared" si="91"/>
        <v>270000</v>
      </c>
      <c r="Q471" s="4">
        <f t="shared" si="92"/>
        <v>22500</v>
      </c>
      <c r="S471" s="4">
        <f t="shared" si="93"/>
        <v>900</v>
      </c>
      <c r="U471" s="4">
        <f t="shared" si="96"/>
        <v>3240</v>
      </c>
      <c r="W471" s="4">
        <f t="shared" si="94"/>
        <v>270</v>
      </c>
      <c r="Y471" s="4">
        <f t="shared" si="95"/>
        <v>281.25</v>
      </c>
    </row>
    <row r="472" spans="1:25" ht="14.5" hidden="1" customHeight="1" outlineLevel="1" x14ac:dyDescent="0.35">
      <c r="A472" s="39" t="s">
        <v>1391</v>
      </c>
      <c r="B472" s="39" t="s">
        <v>109</v>
      </c>
      <c r="C472" s="39" t="s">
        <v>109</v>
      </c>
      <c r="D472" s="39" t="s">
        <v>1392</v>
      </c>
      <c r="E472" s="40" t="s">
        <v>750</v>
      </c>
      <c r="F472" s="39" t="s">
        <v>41</v>
      </c>
      <c r="G472" s="39" t="s">
        <v>1393</v>
      </c>
      <c r="H472" s="41">
        <v>18</v>
      </c>
      <c r="I472" s="36">
        <f t="shared" si="89"/>
        <v>72000</v>
      </c>
      <c r="J472" s="37">
        <f t="shared" si="87"/>
        <v>0.9</v>
      </c>
      <c r="K472" s="37">
        <f t="shared" si="88"/>
        <v>1.3499999999999999</v>
      </c>
      <c r="M472" s="37">
        <f t="shared" si="90"/>
        <v>0.5625</v>
      </c>
      <c r="O472" s="4">
        <f t="shared" si="91"/>
        <v>270000</v>
      </c>
      <c r="Q472" s="4">
        <f t="shared" si="92"/>
        <v>22500</v>
      </c>
      <c r="S472" s="4">
        <f t="shared" si="93"/>
        <v>900</v>
      </c>
      <c r="U472" s="4">
        <f t="shared" si="96"/>
        <v>3240</v>
      </c>
      <c r="W472" s="4">
        <f t="shared" si="94"/>
        <v>270</v>
      </c>
      <c r="Y472" s="4">
        <f t="shared" si="95"/>
        <v>281.25</v>
      </c>
    </row>
    <row r="473" spans="1:25" ht="14.5" hidden="1" customHeight="1" outlineLevel="1" x14ac:dyDescent="0.35">
      <c r="A473" s="39" t="s">
        <v>1394</v>
      </c>
      <c r="B473" s="39" t="s">
        <v>109</v>
      </c>
      <c r="C473" s="39" t="s">
        <v>1395</v>
      </c>
      <c r="D473" s="39" t="s">
        <v>1396</v>
      </c>
      <c r="E473" s="40" t="s">
        <v>91</v>
      </c>
      <c r="F473" s="39" t="s">
        <v>41</v>
      </c>
      <c r="G473" s="39" t="s">
        <v>1397</v>
      </c>
      <c r="H473" s="41">
        <v>18</v>
      </c>
      <c r="I473" s="36">
        <f t="shared" si="89"/>
        <v>72000</v>
      </c>
      <c r="J473" s="37">
        <f t="shared" si="87"/>
        <v>0.9</v>
      </c>
      <c r="K473" s="37">
        <f t="shared" si="88"/>
        <v>1.3499999999999999</v>
      </c>
      <c r="M473" s="37">
        <f t="shared" si="90"/>
        <v>0.5625</v>
      </c>
      <c r="O473" s="4">
        <f t="shared" si="91"/>
        <v>270000</v>
      </c>
      <c r="Q473" s="4">
        <f t="shared" si="92"/>
        <v>22500</v>
      </c>
      <c r="S473" s="4">
        <f t="shared" si="93"/>
        <v>900</v>
      </c>
      <c r="U473" s="4">
        <f t="shared" si="96"/>
        <v>3240</v>
      </c>
      <c r="W473" s="4">
        <f t="shared" si="94"/>
        <v>270</v>
      </c>
      <c r="Y473" s="4">
        <f t="shared" si="95"/>
        <v>281.25</v>
      </c>
    </row>
    <row r="474" spans="1:25" ht="14.5" hidden="1" customHeight="1" outlineLevel="1" x14ac:dyDescent="0.35">
      <c r="A474" s="39" t="s">
        <v>1398</v>
      </c>
      <c r="B474" s="39" t="s">
        <v>109</v>
      </c>
      <c r="C474" s="39" t="s">
        <v>1399</v>
      </c>
      <c r="D474" s="39" t="s">
        <v>1400</v>
      </c>
      <c r="E474" s="40" t="s">
        <v>66</v>
      </c>
      <c r="F474" s="39" t="s">
        <v>41</v>
      </c>
      <c r="G474" s="39" t="s">
        <v>717</v>
      </c>
      <c r="H474" s="41">
        <v>18</v>
      </c>
      <c r="I474" s="36">
        <f t="shared" si="89"/>
        <v>72000</v>
      </c>
      <c r="J474" s="37">
        <f t="shared" si="87"/>
        <v>0.9</v>
      </c>
      <c r="K474" s="37">
        <f t="shared" si="88"/>
        <v>1.3499999999999999</v>
      </c>
      <c r="M474" s="37">
        <f t="shared" si="90"/>
        <v>0.5625</v>
      </c>
      <c r="O474" s="4">
        <f t="shared" si="91"/>
        <v>270000</v>
      </c>
      <c r="Q474" s="4">
        <f t="shared" si="92"/>
        <v>22500</v>
      </c>
      <c r="S474" s="4">
        <f t="shared" si="93"/>
        <v>900</v>
      </c>
      <c r="U474" s="4">
        <f t="shared" si="96"/>
        <v>3240</v>
      </c>
      <c r="W474" s="4">
        <f t="shared" si="94"/>
        <v>270</v>
      </c>
      <c r="Y474" s="4">
        <f t="shared" si="95"/>
        <v>281.25</v>
      </c>
    </row>
    <row r="475" spans="1:25" ht="14.5" hidden="1" customHeight="1" outlineLevel="1" x14ac:dyDescent="0.35">
      <c r="A475" s="39" t="s">
        <v>1401</v>
      </c>
      <c r="B475" s="39" t="s">
        <v>109</v>
      </c>
      <c r="C475" s="39" t="s">
        <v>109</v>
      </c>
      <c r="D475" s="39" t="s">
        <v>1251</v>
      </c>
      <c r="E475" s="40" t="s">
        <v>436</v>
      </c>
      <c r="F475" s="39" t="s">
        <v>41</v>
      </c>
      <c r="G475" s="39" t="s">
        <v>110</v>
      </c>
      <c r="H475" s="41">
        <v>18</v>
      </c>
      <c r="I475" s="36">
        <f t="shared" si="89"/>
        <v>72000</v>
      </c>
      <c r="J475" s="37">
        <f t="shared" si="87"/>
        <v>0.9</v>
      </c>
      <c r="K475" s="37">
        <f t="shared" si="88"/>
        <v>1.3499999999999999</v>
      </c>
      <c r="M475" s="37">
        <f t="shared" si="90"/>
        <v>0.5625</v>
      </c>
      <c r="O475" s="4">
        <f t="shared" si="91"/>
        <v>270000</v>
      </c>
      <c r="Q475" s="4">
        <f t="shared" si="92"/>
        <v>22500</v>
      </c>
      <c r="S475" s="4">
        <f t="shared" si="93"/>
        <v>900</v>
      </c>
      <c r="U475" s="4">
        <f t="shared" si="96"/>
        <v>3240</v>
      </c>
      <c r="W475" s="4">
        <f t="shared" si="94"/>
        <v>270</v>
      </c>
      <c r="Y475" s="4">
        <f t="shared" si="95"/>
        <v>281.25</v>
      </c>
    </row>
    <row r="476" spans="1:25" ht="14.5" hidden="1" customHeight="1" outlineLevel="1" x14ac:dyDescent="0.35">
      <c r="A476" s="39" t="s">
        <v>1402</v>
      </c>
      <c r="B476" s="39" t="s">
        <v>109</v>
      </c>
      <c r="C476" s="39" t="s">
        <v>109</v>
      </c>
      <c r="D476" s="39" t="s">
        <v>1403</v>
      </c>
      <c r="E476" s="40" t="s">
        <v>302</v>
      </c>
      <c r="F476" s="39" t="s">
        <v>41</v>
      </c>
      <c r="G476" s="39" t="s">
        <v>110</v>
      </c>
      <c r="H476" s="41">
        <v>17</v>
      </c>
      <c r="I476" s="36">
        <f t="shared" si="89"/>
        <v>68000</v>
      </c>
      <c r="J476" s="37">
        <f t="shared" si="87"/>
        <v>0.85000000000000009</v>
      </c>
      <c r="K476" s="37">
        <f t="shared" si="88"/>
        <v>1.2749999999999999</v>
      </c>
      <c r="M476" s="37">
        <f t="shared" si="90"/>
        <v>0.53125</v>
      </c>
      <c r="O476" s="4">
        <f t="shared" si="91"/>
        <v>255000</v>
      </c>
      <c r="Q476" s="4">
        <f t="shared" si="92"/>
        <v>21250</v>
      </c>
      <c r="S476" s="4">
        <f t="shared" si="93"/>
        <v>850</v>
      </c>
      <c r="U476" s="4">
        <f t="shared" si="96"/>
        <v>3060</v>
      </c>
      <c r="W476" s="4">
        <f t="shared" si="94"/>
        <v>255</v>
      </c>
      <c r="Y476" s="4">
        <f t="shared" si="95"/>
        <v>265.625</v>
      </c>
    </row>
    <row r="477" spans="1:25" ht="14.5" hidden="1" customHeight="1" outlineLevel="1" x14ac:dyDescent="0.35">
      <c r="A477" s="39" t="s">
        <v>1404</v>
      </c>
      <c r="B477" s="39" t="s">
        <v>109</v>
      </c>
      <c r="C477" s="39" t="s">
        <v>1405</v>
      </c>
      <c r="D477" s="39" t="s">
        <v>1406</v>
      </c>
      <c r="E477" s="40" t="s">
        <v>95</v>
      </c>
      <c r="F477" s="39" t="s">
        <v>41</v>
      </c>
      <c r="G477" s="39" t="s">
        <v>110</v>
      </c>
      <c r="H477" s="41">
        <v>16</v>
      </c>
      <c r="I477" s="36">
        <f t="shared" si="89"/>
        <v>64000</v>
      </c>
      <c r="J477" s="37">
        <f t="shared" si="87"/>
        <v>0.8</v>
      </c>
      <c r="K477" s="37">
        <f t="shared" si="88"/>
        <v>1.2</v>
      </c>
      <c r="M477" s="37">
        <f t="shared" si="90"/>
        <v>0.5</v>
      </c>
      <c r="O477" s="4">
        <f t="shared" si="91"/>
        <v>240000</v>
      </c>
      <c r="Q477" s="4">
        <f t="shared" si="92"/>
        <v>20000</v>
      </c>
      <c r="S477" s="4">
        <f t="shared" si="93"/>
        <v>800</v>
      </c>
      <c r="U477" s="4">
        <f t="shared" si="96"/>
        <v>2880</v>
      </c>
      <c r="W477" s="4">
        <f t="shared" si="94"/>
        <v>240</v>
      </c>
      <c r="Y477" s="4">
        <f t="shared" si="95"/>
        <v>250</v>
      </c>
    </row>
    <row r="478" spans="1:25" ht="14.5" hidden="1" customHeight="1" outlineLevel="1" x14ac:dyDescent="0.35">
      <c r="A478" s="39" t="s">
        <v>1407</v>
      </c>
      <c r="B478" s="39" t="s">
        <v>109</v>
      </c>
      <c r="C478" s="39" t="s">
        <v>109</v>
      </c>
      <c r="D478" s="39" t="s">
        <v>1408</v>
      </c>
      <c r="E478" s="40" t="s">
        <v>78</v>
      </c>
      <c r="F478" s="39" t="s">
        <v>41</v>
      </c>
      <c r="G478" s="39" t="s">
        <v>110</v>
      </c>
      <c r="H478" s="41">
        <v>16</v>
      </c>
      <c r="I478" s="36">
        <f t="shared" si="89"/>
        <v>64000</v>
      </c>
      <c r="J478" s="37">
        <f t="shared" si="87"/>
        <v>0.8</v>
      </c>
      <c r="K478" s="37">
        <f t="shared" si="88"/>
        <v>1.2</v>
      </c>
      <c r="M478" s="37">
        <f t="shared" si="90"/>
        <v>0.5</v>
      </c>
      <c r="O478" s="4">
        <f t="shared" si="91"/>
        <v>240000</v>
      </c>
      <c r="Q478" s="4">
        <f t="shared" si="92"/>
        <v>20000</v>
      </c>
      <c r="S478" s="4">
        <f t="shared" si="93"/>
        <v>800</v>
      </c>
      <c r="U478" s="4">
        <f t="shared" si="96"/>
        <v>2880</v>
      </c>
      <c r="W478" s="4">
        <f t="shared" si="94"/>
        <v>240</v>
      </c>
      <c r="Y478" s="4">
        <f t="shared" si="95"/>
        <v>250</v>
      </c>
    </row>
    <row r="479" spans="1:25" ht="14.5" hidden="1" customHeight="1" outlineLevel="1" x14ac:dyDescent="0.35">
      <c r="A479" s="39" t="s">
        <v>1409</v>
      </c>
      <c r="B479" s="39" t="s">
        <v>109</v>
      </c>
      <c r="C479" s="39" t="s">
        <v>109</v>
      </c>
      <c r="D479" s="39" t="s">
        <v>1410</v>
      </c>
      <c r="E479" s="40" t="s">
        <v>51</v>
      </c>
      <c r="F479" s="39" t="s">
        <v>41</v>
      </c>
      <c r="G479" s="39" t="s">
        <v>110</v>
      </c>
      <c r="H479" s="41">
        <v>16</v>
      </c>
      <c r="I479" s="36">
        <f t="shared" si="89"/>
        <v>64000</v>
      </c>
      <c r="J479" s="37">
        <f t="shared" si="87"/>
        <v>0.8</v>
      </c>
      <c r="K479" s="37">
        <f t="shared" si="88"/>
        <v>1.2</v>
      </c>
      <c r="M479" s="37">
        <f t="shared" si="90"/>
        <v>0.5</v>
      </c>
      <c r="O479" s="4">
        <f t="shared" si="91"/>
        <v>240000</v>
      </c>
      <c r="Q479" s="4">
        <f t="shared" si="92"/>
        <v>20000</v>
      </c>
      <c r="S479" s="4">
        <f t="shared" si="93"/>
        <v>800</v>
      </c>
      <c r="U479" s="4">
        <f t="shared" si="96"/>
        <v>2880</v>
      </c>
      <c r="W479" s="4">
        <f t="shared" si="94"/>
        <v>240</v>
      </c>
      <c r="Y479" s="4">
        <f t="shared" si="95"/>
        <v>250</v>
      </c>
    </row>
    <row r="480" spans="1:25" ht="14.5" hidden="1" customHeight="1" outlineLevel="1" x14ac:dyDescent="0.35">
      <c r="A480" s="39" t="s">
        <v>1411</v>
      </c>
      <c r="B480" s="39" t="s">
        <v>109</v>
      </c>
      <c r="C480" s="39" t="s">
        <v>1412</v>
      </c>
      <c r="D480" s="39" t="s">
        <v>1413</v>
      </c>
      <c r="E480" s="40" t="s">
        <v>56</v>
      </c>
      <c r="F480" s="39" t="s">
        <v>41</v>
      </c>
      <c r="G480" s="39" t="s">
        <v>1414</v>
      </c>
      <c r="H480" s="41">
        <v>16</v>
      </c>
      <c r="I480" s="36">
        <f t="shared" si="89"/>
        <v>64000</v>
      </c>
      <c r="J480" s="37">
        <f t="shared" si="87"/>
        <v>0.8</v>
      </c>
      <c r="K480" s="37">
        <f t="shared" si="88"/>
        <v>1.2</v>
      </c>
      <c r="M480" s="37">
        <f t="shared" si="90"/>
        <v>0.5</v>
      </c>
      <c r="O480" s="4">
        <f t="shared" si="91"/>
        <v>240000</v>
      </c>
      <c r="Q480" s="4">
        <f t="shared" si="92"/>
        <v>20000</v>
      </c>
      <c r="S480" s="4">
        <f t="shared" si="93"/>
        <v>800</v>
      </c>
      <c r="U480" s="4">
        <f t="shared" si="96"/>
        <v>2880</v>
      </c>
      <c r="W480" s="4">
        <f t="shared" si="94"/>
        <v>240</v>
      </c>
      <c r="Y480" s="4">
        <f t="shared" si="95"/>
        <v>250</v>
      </c>
    </row>
    <row r="481" spans="1:25" ht="14.5" hidden="1" customHeight="1" outlineLevel="1" x14ac:dyDescent="0.35">
      <c r="A481" s="39" t="s">
        <v>1415</v>
      </c>
      <c r="B481" s="39" t="s">
        <v>109</v>
      </c>
      <c r="C481" s="39" t="s">
        <v>109</v>
      </c>
      <c r="D481" s="39" t="s">
        <v>1416</v>
      </c>
      <c r="E481" s="40" t="s">
        <v>95</v>
      </c>
      <c r="F481" s="39" t="s">
        <v>41</v>
      </c>
      <c r="G481" s="39" t="s">
        <v>1417</v>
      </c>
      <c r="H481" s="41">
        <v>16</v>
      </c>
      <c r="I481" s="36">
        <f t="shared" si="89"/>
        <v>64000</v>
      </c>
      <c r="J481" s="37">
        <f t="shared" si="87"/>
        <v>0.8</v>
      </c>
      <c r="K481" s="37">
        <f t="shared" si="88"/>
        <v>1.2</v>
      </c>
      <c r="M481" s="37">
        <f t="shared" si="90"/>
        <v>0.5</v>
      </c>
      <c r="O481" s="4">
        <f t="shared" si="91"/>
        <v>240000</v>
      </c>
      <c r="Q481" s="4">
        <f t="shared" si="92"/>
        <v>20000</v>
      </c>
      <c r="S481" s="4">
        <f t="shared" si="93"/>
        <v>800</v>
      </c>
      <c r="U481" s="4">
        <f t="shared" si="96"/>
        <v>2880</v>
      </c>
      <c r="W481" s="4">
        <f t="shared" si="94"/>
        <v>240</v>
      </c>
      <c r="Y481" s="4">
        <f t="shared" si="95"/>
        <v>250</v>
      </c>
    </row>
    <row r="482" spans="1:25" ht="14.5" hidden="1" customHeight="1" outlineLevel="1" x14ac:dyDescent="0.35">
      <c r="A482" s="39" t="s">
        <v>1418</v>
      </c>
      <c r="B482" s="39" t="s">
        <v>109</v>
      </c>
      <c r="C482" s="39" t="s">
        <v>109</v>
      </c>
      <c r="D482" s="39" t="s">
        <v>1419</v>
      </c>
      <c r="E482" s="40" t="s">
        <v>56</v>
      </c>
      <c r="F482" s="39" t="s">
        <v>41</v>
      </c>
      <c r="G482" s="39" t="s">
        <v>1420</v>
      </c>
      <c r="H482" s="41">
        <v>16</v>
      </c>
      <c r="I482" s="36">
        <f t="shared" si="89"/>
        <v>64000</v>
      </c>
      <c r="J482" s="37">
        <f t="shared" si="87"/>
        <v>0.8</v>
      </c>
      <c r="K482" s="37">
        <f t="shared" si="88"/>
        <v>1.2</v>
      </c>
      <c r="M482" s="37">
        <f t="shared" si="90"/>
        <v>0.5</v>
      </c>
      <c r="O482" s="4">
        <f t="shared" si="91"/>
        <v>240000</v>
      </c>
      <c r="Q482" s="4">
        <f t="shared" si="92"/>
        <v>20000</v>
      </c>
      <c r="S482" s="4">
        <f t="shared" si="93"/>
        <v>800</v>
      </c>
      <c r="U482" s="4">
        <f t="shared" si="96"/>
        <v>2880</v>
      </c>
      <c r="W482" s="4">
        <f t="shared" si="94"/>
        <v>240</v>
      </c>
      <c r="Y482" s="4">
        <f t="shared" si="95"/>
        <v>250</v>
      </c>
    </row>
    <row r="483" spans="1:25" ht="14.5" hidden="1" customHeight="1" outlineLevel="1" x14ac:dyDescent="0.35">
      <c r="A483" s="39" t="s">
        <v>1421</v>
      </c>
      <c r="B483" s="39" t="s">
        <v>109</v>
      </c>
      <c r="C483" s="39" t="s">
        <v>1422</v>
      </c>
      <c r="D483" s="39" t="s">
        <v>1423</v>
      </c>
      <c r="E483" s="40" t="s">
        <v>51</v>
      </c>
      <c r="F483" s="39" t="s">
        <v>41</v>
      </c>
      <c r="G483" s="39" t="s">
        <v>1424</v>
      </c>
      <c r="H483" s="41">
        <v>16</v>
      </c>
      <c r="I483" s="36">
        <f t="shared" si="89"/>
        <v>64000</v>
      </c>
      <c r="J483" s="37">
        <f t="shared" si="87"/>
        <v>0.8</v>
      </c>
      <c r="K483" s="37">
        <f t="shared" si="88"/>
        <v>1.2</v>
      </c>
      <c r="M483" s="37">
        <f t="shared" si="90"/>
        <v>0.5</v>
      </c>
      <c r="O483" s="4">
        <f t="shared" si="91"/>
        <v>240000</v>
      </c>
      <c r="Q483" s="4">
        <f t="shared" si="92"/>
        <v>20000</v>
      </c>
      <c r="S483" s="4">
        <f t="shared" si="93"/>
        <v>800</v>
      </c>
      <c r="U483" s="4">
        <f t="shared" si="96"/>
        <v>2880</v>
      </c>
      <c r="W483" s="4">
        <f t="shared" si="94"/>
        <v>240</v>
      </c>
      <c r="Y483" s="4">
        <f t="shared" si="95"/>
        <v>250</v>
      </c>
    </row>
    <row r="484" spans="1:25" ht="14.5" hidden="1" customHeight="1" outlineLevel="1" x14ac:dyDescent="0.35">
      <c r="A484" s="39" t="s">
        <v>1425</v>
      </c>
      <c r="B484" s="39" t="s">
        <v>109</v>
      </c>
      <c r="C484" s="39" t="s">
        <v>109</v>
      </c>
      <c r="D484" s="39" t="s">
        <v>1426</v>
      </c>
      <c r="E484" s="40" t="s">
        <v>441</v>
      </c>
      <c r="F484" s="39" t="s">
        <v>101</v>
      </c>
      <c r="G484" s="39" t="s">
        <v>1427</v>
      </c>
      <c r="H484" s="41">
        <v>15</v>
      </c>
      <c r="I484" s="36">
        <f t="shared" si="89"/>
        <v>60000</v>
      </c>
      <c r="J484" s="37">
        <f t="shared" si="87"/>
        <v>0.75</v>
      </c>
      <c r="K484" s="37">
        <f t="shared" si="88"/>
        <v>1.125</v>
      </c>
      <c r="M484" s="37">
        <f t="shared" si="90"/>
        <v>0.46875</v>
      </c>
      <c r="O484" s="4">
        <f t="shared" si="91"/>
        <v>225000</v>
      </c>
      <c r="Q484" s="4">
        <f t="shared" si="92"/>
        <v>18750</v>
      </c>
      <c r="S484" s="4">
        <f t="shared" si="93"/>
        <v>750</v>
      </c>
      <c r="U484" s="4">
        <f t="shared" si="96"/>
        <v>2700</v>
      </c>
      <c r="W484" s="4">
        <f t="shared" si="94"/>
        <v>225</v>
      </c>
      <c r="Y484" s="4">
        <f t="shared" si="95"/>
        <v>234.375</v>
      </c>
    </row>
    <row r="485" spans="1:25" ht="14.5" hidden="1" customHeight="1" outlineLevel="1" x14ac:dyDescent="0.35">
      <c r="A485" s="39" t="s">
        <v>1428</v>
      </c>
      <c r="B485" s="39" t="s">
        <v>109</v>
      </c>
      <c r="C485" s="39" t="s">
        <v>109</v>
      </c>
      <c r="D485" s="39" t="s">
        <v>1360</v>
      </c>
      <c r="E485" s="40" t="s">
        <v>61</v>
      </c>
      <c r="F485" s="39" t="s">
        <v>41</v>
      </c>
      <c r="G485" s="39" t="s">
        <v>1429</v>
      </c>
      <c r="H485" s="41">
        <v>15</v>
      </c>
      <c r="I485" s="36">
        <f t="shared" si="89"/>
        <v>60000</v>
      </c>
      <c r="J485" s="37">
        <f t="shared" si="87"/>
        <v>0.75</v>
      </c>
      <c r="K485" s="37">
        <f t="shared" si="88"/>
        <v>1.125</v>
      </c>
      <c r="M485" s="37">
        <f t="shared" si="90"/>
        <v>0.46875</v>
      </c>
      <c r="O485" s="4">
        <f t="shared" si="91"/>
        <v>225000</v>
      </c>
      <c r="Q485" s="4">
        <f t="shared" si="92"/>
        <v>18750</v>
      </c>
      <c r="S485" s="4">
        <f t="shared" si="93"/>
        <v>750</v>
      </c>
      <c r="U485" s="4">
        <f t="shared" si="96"/>
        <v>2700</v>
      </c>
      <c r="W485" s="4">
        <f t="shared" si="94"/>
        <v>225</v>
      </c>
      <c r="Y485" s="4">
        <f t="shared" si="95"/>
        <v>234.375</v>
      </c>
    </row>
    <row r="486" spans="1:25" ht="14.5" hidden="1" customHeight="1" outlineLevel="1" x14ac:dyDescent="0.35">
      <c r="A486" s="39" t="s">
        <v>1430</v>
      </c>
      <c r="B486" s="39" t="s">
        <v>109</v>
      </c>
      <c r="C486" s="39" t="s">
        <v>109</v>
      </c>
      <c r="D486" s="39" t="s">
        <v>1431</v>
      </c>
      <c r="E486" s="40" t="s">
        <v>114</v>
      </c>
      <c r="F486" s="39" t="s">
        <v>41</v>
      </c>
      <c r="G486" s="39" t="s">
        <v>110</v>
      </c>
      <c r="H486" s="41">
        <v>15</v>
      </c>
      <c r="I486" s="36">
        <f t="shared" si="89"/>
        <v>60000</v>
      </c>
      <c r="J486" s="37">
        <f t="shared" si="87"/>
        <v>0.75</v>
      </c>
      <c r="K486" s="37">
        <f t="shared" si="88"/>
        <v>1.125</v>
      </c>
      <c r="M486" s="37">
        <f t="shared" si="90"/>
        <v>0.46875</v>
      </c>
      <c r="O486" s="4">
        <f t="shared" si="91"/>
        <v>225000</v>
      </c>
      <c r="Q486" s="4">
        <f t="shared" si="92"/>
        <v>18750</v>
      </c>
      <c r="S486" s="4">
        <f t="shared" si="93"/>
        <v>750</v>
      </c>
      <c r="U486" s="4">
        <f t="shared" si="96"/>
        <v>2700</v>
      </c>
      <c r="W486" s="4">
        <f t="shared" si="94"/>
        <v>225</v>
      </c>
      <c r="Y486" s="4">
        <f t="shared" si="95"/>
        <v>234.375</v>
      </c>
    </row>
    <row r="487" spans="1:25" ht="14.5" hidden="1" customHeight="1" outlineLevel="1" x14ac:dyDescent="0.35">
      <c r="A487" s="39" t="s">
        <v>1432</v>
      </c>
      <c r="B487" s="39" t="s">
        <v>109</v>
      </c>
      <c r="C487" s="39" t="s">
        <v>1433</v>
      </c>
      <c r="D487" s="39" t="s">
        <v>1148</v>
      </c>
      <c r="E487" s="40" t="s">
        <v>51</v>
      </c>
      <c r="F487" s="39" t="s">
        <v>41</v>
      </c>
      <c r="G487" s="39" t="s">
        <v>1149</v>
      </c>
      <c r="H487" s="41">
        <v>15</v>
      </c>
      <c r="I487" s="36">
        <f t="shared" si="89"/>
        <v>60000</v>
      </c>
      <c r="J487" s="37">
        <f t="shared" si="87"/>
        <v>0.75</v>
      </c>
      <c r="K487" s="37">
        <f t="shared" si="88"/>
        <v>1.125</v>
      </c>
      <c r="M487" s="37">
        <f t="shared" si="90"/>
        <v>0.46875</v>
      </c>
      <c r="O487" s="4">
        <f t="shared" si="91"/>
        <v>225000</v>
      </c>
      <c r="Q487" s="4">
        <f t="shared" si="92"/>
        <v>18750</v>
      </c>
      <c r="S487" s="4">
        <f t="shared" si="93"/>
        <v>750</v>
      </c>
      <c r="U487" s="4">
        <f t="shared" si="96"/>
        <v>2700</v>
      </c>
      <c r="W487" s="4">
        <f t="shared" si="94"/>
        <v>225</v>
      </c>
      <c r="Y487" s="4">
        <f t="shared" si="95"/>
        <v>234.375</v>
      </c>
    </row>
    <row r="488" spans="1:25" ht="14.5" hidden="1" customHeight="1" outlineLevel="1" x14ac:dyDescent="0.35">
      <c r="A488" s="39" t="s">
        <v>1434</v>
      </c>
      <c r="B488" s="39" t="s">
        <v>109</v>
      </c>
      <c r="C488" s="39" t="s">
        <v>109</v>
      </c>
      <c r="D488" s="39" t="s">
        <v>1435</v>
      </c>
      <c r="E488" s="40" t="s">
        <v>51</v>
      </c>
      <c r="F488" s="39" t="s">
        <v>41</v>
      </c>
      <c r="G488" s="39" t="s">
        <v>1436</v>
      </c>
      <c r="H488" s="41">
        <v>15</v>
      </c>
      <c r="I488" s="36">
        <f t="shared" si="89"/>
        <v>60000</v>
      </c>
      <c r="J488" s="37">
        <f t="shared" si="87"/>
        <v>0.75</v>
      </c>
      <c r="K488" s="37">
        <f t="shared" si="88"/>
        <v>1.125</v>
      </c>
      <c r="M488" s="37">
        <f t="shared" si="90"/>
        <v>0.46875</v>
      </c>
      <c r="O488" s="4">
        <f t="shared" si="91"/>
        <v>225000</v>
      </c>
      <c r="Q488" s="4">
        <f t="shared" si="92"/>
        <v>18750</v>
      </c>
      <c r="S488" s="4">
        <f t="shared" si="93"/>
        <v>750</v>
      </c>
      <c r="U488" s="4">
        <f t="shared" si="96"/>
        <v>2700</v>
      </c>
      <c r="W488" s="4">
        <f t="shared" si="94"/>
        <v>225</v>
      </c>
      <c r="Y488" s="4">
        <f t="shared" si="95"/>
        <v>234.375</v>
      </c>
    </row>
    <row r="489" spans="1:25" ht="14.5" hidden="1" customHeight="1" outlineLevel="1" x14ac:dyDescent="0.35">
      <c r="A489" s="39" t="s">
        <v>1437</v>
      </c>
      <c r="B489" s="39" t="s">
        <v>109</v>
      </c>
      <c r="C489" s="39" t="s">
        <v>109</v>
      </c>
      <c r="D489" s="39" t="s">
        <v>1438</v>
      </c>
      <c r="E489" s="40" t="s">
        <v>1018</v>
      </c>
      <c r="F489" s="39" t="s">
        <v>41</v>
      </c>
      <c r="G489" s="39" t="s">
        <v>110</v>
      </c>
      <c r="H489" s="41">
        <v>14</v>
      </c>
      <c r="I489" s="36">
        <f t="shared" si="89"/>
        <v>56000</v>
      </c>
      <c r="J489" s="37">
        <f t="shared" si="87"/>
        <v>0.70000000000000007</v>
      </c>
      <c r="K489" s="37">
        <f t="shared" si="88"/>
        <v>1.05</v>
      </c>
      <c r="M489" s="37">
        <f t="shared" si="90"/>
        <v>0.4375</v>
      </c>
      <c r="O489" s="4">
        <f t="shared" si="91"/>
        <v>210000</v>
      </c>
      <c r="Q489" s="4">
        <f t="shared" si="92"/>
        <v>17500</v>
      </c>
      <c r="S489" s="4">
        <f t="shared" si="93"/>
        <v>700</v>
      </c>
      <c r="U489" s="4">
        <f t="shared" si="96"/>
        <v>2520</v>
      </c>
      <c r="W489" s="4">
        <f t="shared" si="94"/>
        <v>210</v>
      </c>
      <c r="Y489" s="4">
        <f t="shared" si="95"/>
        <v>218.75</v>
      </c>
    </row>
    <row r="490" spans="1:25" ht="14.5" hidden="1" customHeight="1" outlineLevel="1" x14ac:dyDescent="0.35">
      <c r="A490" s="39" t="s">
        <v>1439</v>
      </c>
      <c r="B490" s="39" t="s">
        <v>109</v>
      </c>
      <c r="C490" s="39" t="s">
        <v>1440</v>
      </c>
      <c r="D490" s="39" t="s">
        <v>190</v>
      </c>
      <c r="E490" s="40" t="s">
        <v>302</v>
      </c>
      <c r="F490" s="39" t="s">
        <v>41</v>
      </c>
      <c r="G490" s="39" t="s">
        <v>558</v>
      </c>
      <c r="H490" s="41">
        <v>14</v>
      </c>
      <c r="I490" s="36">
        <f t="shared" si="89"/>
        <v>56000</v>
      </c>
      <c r="J490" s="37">
        <f t="shared" si="87"/>
        <v>0.70000000000000007</v>
      </c>
      <c r="K490" s="37">
        <f t="shared" si="88"/>
        <v>1.05</v>
      </c>
      <c r="M490" s="37">
        <f t="shared" si="90"/>
        <v>0.4375</v>
      </c>
      <c r="O490" s="4">
        <f t="shared" si="91"/>
        <v>210000</v>
      </c>
      <c r="Q490" s="4">
        <f t="shared" si="92"/>
        <v>17500</v>
      </c>
      <c r="S490" s="4">
        <f t="shared" si="93"/>
        <v>700</v>
      </c>
      <c r="U490" s="4">
        <f t="shared" si="96"/>
        <v>2520</v>
      </c>
      <c r="W490" s="4">
        <f t="shared" si="94"/>
        <v>210</v>
      </c>
      <c r="Y490" s="4">
        <f t="shared" si="95"/>
        <v>218.75</v>
      </c>
    </row>
    <row r="491" spans="1:25" ht="14.5" hidden="1" customHeight="1" outlineLevel="1" x14ac:dyDescent="0.35">
      <c r="A491" s="39" t="s">
        <v>1441</v>
      </c>
      <c r="B491" s="39" t="s">
        <v>109</v>
      </c>
      <c r="C491" s="39" t="s">
        <v>109</v>
      </c>
      <c r="D491" s="39" t="s">
        <v>1442</v>
      </c>
      <c r="E491" s="40" t="s">
        <v>61</v>
      </c>
      <c r="F491" s="39" t="s">
        <v>41</v>
      </c>
      <c r="G491" s="39" t="s">
        <v>110</v>
      </c>
      <c r="H491" s="41">
        <v>14</v>
      </c>
      <c r="I491" s="36">
        <f t="shared" si="89"/>
        <v>56000</v>
      </c>
      <c r="J491" s="37">
        <f t="shared" si="87"/>
        <v>0.70000000000000007</v>
      </c>
      <c r="K491" s="37">
        <f t="shared" si="88"/>
        <v>1.05</v>
      </c>
      <c r="M491" s="37">
        <f t="shared" si="90"/>
        <v>0.4375</v>
      </c>
      <c r="O491" s="4">
        <f t="shared" si="91"/>
        <v>210000</v>
      </c>
      <c r="Q491" s="4">
        <f t="shared" si="92"/>
        <v>17500</v>
      </c>
      <c r="S491" s="4">
        <f t="shared" si="93"/>
        <v>700</v>
      </c>
      <c r="U491" s="4">
        <f t="shared" si="96"/>
        <v>2520</v>
      </c>
      <c r="W491" s="4">
        <f t="shared" si="94"/>
        <v>210</v>
      </c>
      <c r="Y491" s="4">
        <f t="shared" si="95"/>
        <v>218.75</v>
      </c>
    </row>
    <row r="492" spans="1:25" ht="14.5" hidden="1" customHeight="1" outlineLevel="1" x14ac:dyDescent="0.35">
      <c r="A492" s="39" t="s">
        <v>1443</v>
      </c>
      <c r="B492" s="39" t="s">
        <v>109</v>
      </c>
      <c r="C492" s="39" t="s">
        <v>1444</v>
      </c>
      <c r="D492" s="39" t="s">
        <v>1445</v>
      </c>
      <c r="E492" s="40" t="s">
        <v>78</v>
      </c>
      <c r="F492" s="39" t="s">
        <v>41</v>
      </c>
      <c r="G492" s="39" t="s">
        <v>1446</v>
      </c>
      <c r="H492" s="41">
        <v>14</v>
      </c>
      <c r="I492" s="36">
        <f t="shared" si="89"/>
        <v>56000</v>
      </c>
      <c r="J492" s="37">
        <f t="shared" ref="J492:J555" si="97">H492*$F$7</f>
        <v>0.70000000000000007</v>
      </c>
      <c r="K492" s="37">
        <f t="shared" ref="K492:K555" si="98">H492*$G$7</f>
        <v>1.05</v>
      </c>
      <c r="M492" s="37">
        <f t="shared" si="90"/>
        <v>0.4375</v>
      </c>
      <c r="O492" s="4">
        <f t="shared" si="91"/>
        <v>210000</v>
      </c>
      <c r="Q492" s="4">
        <f t="shared" si="92"/>
        <v>17500</v>
      </c>
      <c r="S492" s="4">
        <f t="shared" si="93"/>
        <v>700</v>
      </c>
      <c r="U492" s="4">
        <f t="shared" si="96"/>
        <v>2520</v>
      </c>
      <c r="W492" s="4">
        <f t="shared" si="94"/>
        <v>210</v>
      </c>
      <c r="Y492" s="4">
        <f t="shared" si="95"/>
        <v>218.75</v>
      </c>
    </row>
    <row r="493" spans="1:25" ht="14.5" hidden="1" customHeight="1" outlineLevel="1" x14ac:dyDescent="0.35">
      <c r="A493" s="39" t="s">
        <v>1447</v>
      </c>
      <c r="B493" s="39" t="s">
        <v>109</v>
      </c>
      <c r="C493" s="39" t="s">
        <v>1448</v>
      </c>
      <c r="D493" s="39" t="s">
        <v>1377</v>
      </c>
      <c r="E493" s="40" t="s">
        <v>1018</v>
      </c>
      <c r="F493" s="39" t="s">
        <v>41</v>
      </c>
      <c r="G493" s="39" t="s">
        <v>1449</v>
      </c>
      <c r="H493" s="41">
        <v>14</v>
      </c>
      <c r="I493" s="36">
        <f t="shared" ref="I493:I556" si="99">$E$7*H493</f>
        <v>56000</v>
      </c>
      <c r="J493" s="37">
        <f t="shared" si="97"/>
        <v>0.70000000000000007</v>
      </c>
      <c r="K493" s="37">
        <f t="shared" si="98"/>
        <v>1.05</v>
      </c>
      <c r="M493" s="37">
        <f t="shared" ref="M493:M556" si="100">0.5*(AVERAGE(J493:K493))</f>
        <v>0.4375</v>
      </c>
      <c r="O493" s="4">
        <f t="shared" ref="O493:O556" si="101">I493*$E$3</f>
        <v>210000</v>
      </c>
      <c r="Q493" s="4">
        <f t="shared" ref="Q493:Q556" si="102">I493*$E$3/12</f>
        <v>17500</v>
      </c>
      <c r="S493" s="4">
        <f t="shared" ref="S493:S556" si="103">Q493*$E$4</f>
        <v>700</v>
      </c>
      <c r="U493" s="4">
        <f t="shared" si="96"/>
        <v>2520</v>
      </c>
      <c r="W493" s="4">
        <f t="shared" ref="W493:W556" si="104">S493*$E$5</f>
        <v>210</v>
      </c>
      <c r="Y493" s="4">
        <f t="shared" ref="Y493:Y556" si="105">M493*$E$6</f>
        <v>218.75</v>
      </c>
    </row>
    <row r="494" spans="1:25" ht="14.5" hidden="1" customHeight="1" outlineLevel="1" x14ac:dyDescent="0.35">
      <c r="A494" s="39" t="s">
        <v>1450</v>
      </c>
      <c r="B494" s="39" t="s">
        <v>109</v>
      </c>
      <c r="C494" s="39" t="s">
        <v>109</v>
      </c>
      <c r="D494" s="39" t="s">
        <v>1451</v>
      </c>
      <c r="E494" s="40" t="s">
        <v>138</v>
      </c>
      <c r="F494" s="39" t="s">
        <v>41</v>
      </c>
      <c r="G494" s="39" t="s">
        <v>110</v>
      </c>
      <c r="H494" s="41">
        <v>13</v>
      </c>
      <c r="I494" s="36">
        <f t="shared" si="99"/>
        <v>52000</v>
      </c>
      <c r="J494" s="37">
        <f t="shared" si="97"/>
        <v>0.65</v>
      </c>
      <c r="K494" s="37">
        <f t="shared" si="98"/>
        <v>0.97499999999999998</v>
      </c>
      <c r="M494" s="37">
        <f t="shared" si="100"/>
        <v>0.40625</v>
      </c>
      <c r="O494" s="4">
        <f t="shared" si="101"/>
        <v>195000</v>
      </c>
      <c r="Q494" s="4">
        <f t="shared" si="102"/>
        <v>16250</v>
      </c>
      <c r="S494" s="4">
        <f t="shared" si="103"/>
        <v>650</v>
      </c>
      <c r="U494" s="4">
        <f t="shared" ref="U494:U557" si="106">W494*12</f>
        <v>2340</v>
      </c>
      <c r="W494" s="4">
        <f t="shared" si="104"/>
        <v>195</v>
      </c>
      <c r="Y494" s="4">
        <f t="shared" si="105"/>
        <v>203.125</v>
      </c>
    </row>
    <row r="495" spans="1:25" ht="14.5" hidden="1" customHeight="1" outlineLevel="1" x14ac:dyDescent="0.35">
      <c r="A495" s="39" t="s">
        <v>1452</v>
      </c>
      <c r="B495" s="39" t="s">
        <v>109</v>
      </c>
      <c r="C495" s="39" t="s">
        <v>109</v>
      </c>
      <c r="D495" s="39" t="s">
        <v>1453</v>
      </c>
      <c r="E495" s="40" t="s">
        <v>114</v>
      </c>
      <c r="F495" s="39" t="s">
        <v>41</v>
      </c>
      <c r="G495" s="39" t="s">
        <v>110</v>
      </c>
      <c r="H495" s="41">
        <v>13</v>
      </c>
      <c r="I495" s="36">
        <f t="shared" si="99"/>
        <v>52000</v>
      </c>
      <c r="J495" s="37">
        <f t="shared" si="97"/>
        <v>0.65</v>
      </c>
      <c r="K495" s="37">
        <f t="shared" si="98"/>
        <v>0.97499999999999998</v>
      </c>
      <c r="M495" s="37">
        <f t="shared" si="100"/>
        <v>0.40625</v>
      </c>
      <c r="O495" s="4">
        <f t="shared" si="101"/>
        <v>195000</v>
      </c>
      <c r="Q495" s="4">
        <f t="shared" si="102"/>
        <v>16250</v>
      </c>
      <c r="S495" s="4">
        <f t="shared" si="103"/>
        <v>650</v>
      </c>
      <c r="U495" s="4">
        <f t="shared" si="106"/>
        <v>2340</v>
      </c>
      <c r="W495" s="4">
        <f t="shared" si="104"/>
        <v>195</v>
      </c>
      <c r="Y495" s="4">
        <f t="shared" si="105"/>
        <v>203.125</v>
      </c>
    </row>
    <row r="496" spans="1:25" ht="14.5" hidden="1" customHeight="1" outlineLevel="1" x14ac:dyDescent="0.35">
      <c r="A496" s="39" t="s">
        <v>1454</v>
      </c>
      <c r="B496" s="39" t="s">
        <v>109</v>
      </c>
      <c r="C496" s="39" t="s">
        <v>109</v>
      </c>
      <c r="D496" s="39" t="s">
        <v>1455</v>
      </c>
      <c r="E496" s="40" t="s">
        <v>191</v>
      </c>
      <c r="F496" s="39" t="s">
        <v>41</v>
      </c>
      <c r="G496" s="39" t="s">
        <v>1456</v>
      </c>
      <c r="H496" s="41">
        <v>13</v>
      </c>
      <c r="I496" s="36">
        <f t="shared" si="99"/>
        <v>52000</v>
      </c>
      <c r="J496" s="37">
        <f t="shared" si="97"/>
        <v>0.65</v>
      </c>
      <c r="K496" s="37">
        <f t="shared" si="98"/>
        <v>0.97499999999999998</v>
      </c>
      <c r="M496" s="37">
        <f t="shared" si="100"/>
        <v>0.40625</v>
      </c>
      <c r="O496" s="4">
        <f t="shared" si="101"/>
        <v>195000</v>
      </c>
      <c r="Q496" s="4">
        <f t="shared" si="102"/>
        <v>16250</v>
      </c>
      <c r="S496" s="4">
        <f t="shared" si="103"/>
        <v>650</v>
      </c>
      <c r="U496" s="4">
        <f t="shared" si="106"/>
        <v>2340</v>
      </c>
      <c r="W496" s="4">
        <f t="shared" si="104"/>
        <v>195</v>
      </c>
      <c r="Y496" s="4">
        <f t="shared" si="105"/>
        <v>203.125</v>
      </c>
    </row>
    <row r="497" spans="1:25" ht="14.5" hidden="1" customHeight="1" outlineLevel="1" x14ac:dyDescent="0.35">
      <c r="A497" s="39" t="s">
        <v>1457</v>
      </c>
      <c r="B497" s="39" t="s">
        <v>1346</v>
      </c>
      <c r="C497" s="39" t="s">
        <v>109</v>
      </c>
      <c r="D497" s="39" t="s">
        <v>1219</v>
      </c>
      <c r="E497" s="40" t="s">
        <v>302</v>
      </c>
      <c r="F497" s="39" t="s">
        <v>41</v>
      </c>
      <c r="G497" s="39" t="s">
        <v>1220</v>
      </c>
      <c r="H497" s="41">
        <v>13</v>
      </c>
      <c r="I497" s="36">
        <f t="shared" si="99"/>
        <v>52000</v>
      </c>
      <c r="J497" s="37">
        <f t="shared" si="97"/>
        <v>0.65</v>
      </c>
      <c r="K497" s="37">
        <f t="shared" si="98"/>
        <v>0.97499999999999998</v>
      </c>
      <c r="M497" s="37">
        <f t="shared" si="100"/>
        <v>0.40625</v>
      </c>
      <c r="O497" s="4">
        <f t="shared" si="101"/>
        <v>195000</v>
      </c>
      <c r="Q497" s="4">
        <f t="shared" si="102"/>
        <v>16250</v>
      </c>
      <c r="S497" s="4">
        <f t="shared" si="103"/>
        <v>650</v>
      </c>
      <c r="U497" s="4">
        <f t="shared" si="106"/>
        <v>2340</v>
      </c>
      <c r="W497" s="4">
        <f t="shared" si="104"/>
        <v>195</v>
      </c>
      <c r="Y497" s="4">
        <f t="shared" si="105"/>
        <v>203.125</v>
      </c>
    </row>
    <row r="498" spans="1:25" ht="14.5" hidden="1" customHeight="1" outlineLevel="1" x14ac:dyDescent="0.35">
      <c r="A498" s="39" t="s">
        <v>1458</v>
      </c>
      <c r="B498" s="39" t="s">
        <v>109</v>
      </c>
      <c r="C498" s="39" t="s">
        <v>109</v>
      </c>
      <c r="D498" s="39" t="s">
        <v>1459</v>
      </c>
      <c r="E498" s="40" t="s">
        <v>302</v>
      </c>
      <c r="F498" s="39" t="s">
        <v>41</v>
      </c>
      <c r="G498" s="39" t="s">
        <v>110</v>
      </c>
      <c r="H498" s="41">
        <v>12</v>
      </c>
      <c r="I498" s="36">
        <f t="shared" si="99"/>
        <v>48000</v>
      </c>
      <c r="J498" s="37">
        <f t="shared" si="97"/>
        <v>0.60000000000000009</v>
      </c>
      <c r="K498" s="37">
        <f t="shared" si="98"/>
        <v>0.89999999999999991</v>
      </c>
      <c r="M498" s="37">
        <f t="shared" si="100"/>
        <v>0.375</v>
      </c>
      <c r="O498" s="4">
        <f t="shared" si="101"/>
        <v>180000</v>
      </c>
      <c r="Q498" s="4">
        <f t="shared" si="102"/>
        <v>15000</v>
      </c>
      <c r="S498" s="4">
        <f t="shared" si="103"/>
        <v>600</v>
      </c>
      <c r="U498" s="4">
        <f t="shared" si="106"/>
        <v>2160</v>
      </c>
      <c r="W498" s="4">
        <f t="shared" si="104"/>
        <v>180</v>
      </c>
      <c r="Y498" s="4">
        <f t="shared" si="105"/>
        <v>187.5</v>
      </c>
    </row>
    <row r="499" spans="1:25" ht="14.5" hidden="1" customHeight="1" outlineLevel="1" x14ac:dyDescent="0.35">
      <c r="A499" s="39" t="s">
        <v>1460</v>
      </c>
      <c r="B499" s="39" t="s">
        <v>109</v>
      </c>
      <c r="C499" s="39" t="s">
        <v>1461</v>
      </c>
      <c r="D499" s="39" t="s">
        <v>305</v>
      </c>
      <c r="E499" s="40" t="s">
        <v>302</v>
      </c>
      <c r="F499" s="39" t="s">
        <v>41</v>
      </c>
      <c r="G499" s="39" t="s">
        <v>1214</v>
      </c>
      <c r="H499" s="41">
        <v>12</v>
      </c>
      <c r="I499" s="36">
        <f t="shared" si="99"/>
        <v>48000</v>
      </c>
      <c r="J499" s="37">
        <f t="shared" si="97"/>
        <v>0.60000000000000009</v>
      </c>
      <c r="K499" s="37">
        <f t="shared" si="98"/>
        <v>0.89999999999999991</v>
      </c>
      <c r="M499" s="37">
        <f t="shared" si="100"/>
        <v>0.375</v>
      </c>
      <c r="O499" s="4">
        <f t="shared" si="101"/>
        <v>180000</v>
      </c>
      <c r="Q499" s="4">
        <f t="shared" si="102"/>
        <v>15000</v>
      </c>
      <c r="S499" s="4">
        <f t="shared" si="103"/>
        <v>600</v>
      </c>
      <c r="U499" s="4">
        <f t="shared" si="106"/>
        <v>2160</v>
      </c>
      <c r="W499" s="4">
        <f t="shared" si="104"/>
        <v>180</v>
      </c>
      <c r="Y499" s="4">
        <f t="shared" si="105"/>
        <v>187.5</v>
      </c>
    </row>
    <row r="500" spans="1:25" ht="14.5" hidden="1" customHeight="1" outlineLevel="1" x14ac:dyDescent="0.35">
      <c r="A500" s="39" t="s">
        <v>1462</v>
      </c>
      <c r="B500" s="39" t="s">
        <v>109</v>
      </c>
      <c r="C500" s="39" t="s">
        <v>109</v>
      </c>
      <c r="D500" s="39" t="s">
        <v>1463</v>
      </c>
      <c r="E500" s="40" t="s">
        <v>165</v>
      </c>
      <c r="F500" s="39" t="s">
        <v>41</v>
      </c>
      <c r="G500" s="39" t="s">
        <v>110</v>
      </c>
      <c r="H500" s="41">
        <v>12</v>
      </c>
      <c r="I500" s="36">
        <f t="shared" si="99"/>
        <v>48000</v>
      </c>
      <c r="J500" s="37">
        <f t="shared" si="97"/>
        <v>0.60000000000000009</v>
      </c>
      <c r="K500" s="37">
        <f t="shared" si="98"/>
        <v>0.89999999999999991</v>
      </c>
      <c r="M500" s="37">
        <f t="shared" si="100"/>
        <v>0.375</v>
      </c>
      <c r="O500" s="4">
        <f t="shared" si="101"/>
        <v>180000</v>
      </c>
      <c r="Q500" s="4">
        <f t="shared" si="102"/>
        <v>15000</v>
      </c>
      <c r="S500" s="4">
        <f t="shared" si="103"/>
        <v>600</v>
      </c>
      <c r="U500" s="4">
        <f t="shared" si="106"/>
        <v>2160</v>
      </c>
      <c r="W500" s="4">
        <f t="shared" si="104"/>
        <v>180</v>
      </c>
      <c r="Y500" s="4">
        <f t="shared" si="105"/>
        <v>187.5</v>
      </c>
    </row>
    <row r="501" spans="1:25" ht="14.5" hidden="1" customHeight="1" outlineLevel="1" x14ac:dyDescent="0.35">
      <c r="A501" s="39" t="s">
        <v>1464</v>
      </c>
      <c r="B501" s="39" t="s">
        <v>109</v>
      </c>
      <c r="C501" s="39" t="s">
        <v>1465</v>
      </c>
      <c r="D501" s="39" t="s">
        <v>1466</v>
      </c>
      <c r="E501" s="40" t="s">
        <v>138</v>
      </c>
      <c r="F501" s="39" t="s">
        <v>41</v>
      </c>
      <c r="G501" s="39" t="s">
        <v>1467</v>
      </c>
      <c r="H501" s="41">
        <v>12</v>
      </c>
      <c r="I501" s="36">
        <f t="shared" si="99"/>
        <v>48000</v>
      </c>
      <c r="J501" s="37">
        <f t="shared" si="97"/>
        <v>0.60000000000000009</v>
      </c>
      <c r="K501" s="37">
        <f t="shared" si="98"/>
        <v>0.89999999999999991</v>
      </c>
      <c r="M501" s="37">
        <f t="shared" si="100"/>
        <v>0.375</v>
      </c>
      <c r="O501" s="4">
        <f t="shared" si="101"/>
        <v>180000</v>
      </c>
      <c r="Q501" s="4">
        <f t="shared" si="102"/>
        <v>15000</v>
      </c>
      <c r="S501" s="4">
        <f t="shared" si="103"/>
        <v>600</v>
      </c>
      <c r="U501" s="4">
        <f t="shared" si="106"/>
        <v>2160</v>
      </c>
      <c r="W501" s="4">
        <f t="shared" si="104"/>
        <v>180</v>
      </c>
      <c r="Y501" s="4">
        <f t="shared" si="105"/>
        <v>187.5</v>
      </c>
    </row>
    <row r="502" spans="1:25" ht="14.5" hidden="1" customHeight="1" outlineLevel="1" x14ac:dyDescent="0.35">
      <c r="A502" s="39" t="s">
        <v>1468</v>
      </c>
      <c r="B502" s="39" t="s">
        <v>109</v>
      </c>
      <c r="C502" s="39" t="s">
        <v>109</v>
      </c>
      <c r="D502" s="39" t="s">
        <v>1469</v>
      </c>
      <c r="E502" s="40" t="s">
        <v>146</v>
      </c>
      <c r="F502" s="39" t="s">
        <v>41</v>
      </c>
      <c r="G502" s="39" t="s">
        <v>110</v>
      </c>
      <c r="H502" s="41">
        <v>11</v>
      </c>
      <c r="I502" s="36">
        <f t="shared" si="99"/>
        <v>44000</v>
      </c>
      <c r="J502" s="37">
        <f t="shared" si="97"/>
        <v>0.55000000000000004</v>
      </c>
      <c r="K502" s="37">
        <f t="shared" si="98"/>
        <v>0.82499999999999996</v>
      </c>
      <c r="M502" s="37">
        <f t="shared" si="100"/>
        <v>0.34375</v>
      </c>
      <c r="O502" s="4">
        <f t="shared" si="101"/>
        <v>165000</v>
      </c>
      <c r="Q502" s="4">
        <f t="shared" si="102"/>
        <v>13750</v>
      </c>
      <c r="S502" s="4">
        <f t="shared" si="103"/>
        <v>550</v>
      </c>
      <c r="U502" s="4">
        <f t="shared" si="106"/>
        <v>1980</v>
      </c>
      <c r="W502" s="4">
        <f t="shared" si="104"/>
        <v>165</v>
      </c>
      <c r="Y502" s="4">
        <f t="shared" si="105"/>
        <v>171.875</v>
      </c>
    </row>
    <row r="503" spans="1:25" ht="14.5" hidden="1" customHeight="1" outlineLevel="1" x14ac:dyDescent="0.35">
      <c r="A503" s="39" t="s">
        <v>1470</v>
      </c>
      <c r="B503" s="39" t="s">
        <v>109</v>
      </c>
      <c r="C503" s="39" t="s">
        <v>109</v>
      </c>
      <c r="D503" s="39" t="s">
        <v>1471</v>
      </c>
      <c r="E503" s="40" t="s">
        <v>452</v>
      </c>
      <c r="F503" s="39" t="s">
        <v>41</v>
      </c>
      <c r="G503" s="39" t="s">
        <v>110</v>
      </c>
      <c r="H503" s="41">
        <v>11</v>
      </c>
      <c r="I503" s="36">
        <f t="shared" si="99"/>
        <v>44000</v>
      </c>
      <c r="J503" s="37">
        <f t="shared" si="97"/>
        <v>0.55000000000000004</v>
      </c>
      <c r="K503" s="37">
        <f t="shared" si="98"/>
        <v>0.82499999999999996</v>
      </c>
      <c r="M503" s="37">
        <f t="shared" si="100"/>
        <v>0.34375</v>
      </c>
      <c r="O503" s="4">
        <f t="shared" si="101"/>
        <v>165000</v>
      </c>
      <c r="Q503" s="4">
        <f t="shared" si="102"/>
        <v>13750</v>
      </c>
      <c r="S503" s="4">
        <f t="shared" si="103"/>
        <v>550</v>
      </c>
      <c r="U503" s="4">
        <f t="shared" si="106"/>
        <v>1980</v>
      </c>
      <c r="W503" s="4">
        <f t="shared" si="104"/>
        <v>165</v>
      </c>
      <c r="Y503" s="4">
        <f t="shared" si="105"/>
        <v>171.875</v>
      </c>
    </row>
    <row r="504" spans="1:25" ht="14.5" hidden="1" customHeight="1" outlineLevel="1" x14ac:dyDescent="0.35">
      <c r="A504" s="39" t="s">
        <v>1472</v>
      </c>
      <c r="B504" s="39" t="s">
        <v>109</v>
      </c>
      <c r="C504" s="39" t="s">
        <v>109</v>
      </c>
      <c r="D504" s="39" t="s">
        <v>1473</v>
      </c>
      <c r="E504" s="40" t="s">
        <v>1018</v>
      </c>
      <c r="F504" s="39" t="s">
        <v>41</v>
      </c>
      <c r="G504" s="39" t="s">
        <v>1474</v>
      </c>
      <c r="H504" s="41">
        <v>11</v>
      </c>
      <c r="I504" s="36">
        <f t="shared" si="99"/>
        <v>44000</v>
      </c>
      <c r="J504" s="37">
        <f t="shared" si="97"/>
        <v>0.55000000000000004</v>
      </c>
      <c r="K504" s="37">
        <f t="shared" si="98"/>
        <v>0.82499999999999996</v>
      </c>
      <c r="M504" s="37">
        <f t="shared" si="100"/>
        <v>0.34375</v>
      </c>
      <c r="O504" s="4">
        <f t="shared" si="101"/>
        <v>165000</v>
      </c>
      <c r="Q504" s="4">
        <f t="shared" si="102"/>
        <v>13750</v>
      </c>
      <c r="S504" s="4">
        <f t="shared" si="103"/>
        <v>550</v>
      </c>
      <c r="U504" s="4">
        <f t="shared" si="106"/>
        <v>1980</v>
      </c>
      <c r="W504" s="4">
        <f t="shared" si="104"/>
        <v>165</v>
      </c>
      <c r="Y504" s="4">
        <f t="shared" si="105"/>
        <v>171.875</v>
      </c>
    </row>
    <row r="505" spans="1:25" ht="14.5" hidden="1" customHeight="1" outlineLevel="1" x14ac:dyDescent="0.35">
      <c r="A505" s="39" t="s">
        <v>1475</v>
      </c>
      <c r="B505" s="39" t="s">
        <v>109</v>
      </c>
      <c r="C505" s="39" t="s">
        <v>109</v>
      </c>
      <c r="D505" s="39" t="s">
        <v>528</v>
      </c>
      <c r="E505" s="40" t="s">
        <v>302</v>
      </c>
      <c r="F505" s="39" t="s">
        <v>41</v>
      </c>
      <c r="G505" s="39" t="s">
        <v>1476</v>
      </c>
      <c r="H505" s="41">
        <v>11</v>
      </c>
      <c r="I505" s="36">
        <f t="shared" si="99"/>
        <v>44000</v>
      </c>
      <c r="J505" s="37">
        <f t="shared" si="97"/>
        <v>0.55000000000000004</v>
      </c>
      <c r="K505" s="37">
        <f t="shared" si="98"/>
        <v>0.82499999999999996</v>
      </c>
      <c r="M505" s="37">
        <f t="shared" si="100"/>
        <v>0.34375</v>
      </c>
      <c r="O505" s="4">
        <f t="shared" si="101"/>
        <v>165000</v>
      </c>
      <c r="Q505" s="4">
        <f t="shared" si="102"/>
        <v>13750</v>
      </c>
      <c r="S505" s="4">
        <f t="shared" si="103"/>
        <v>550</v>
      </c>
      <c r="U505" s="4">
        <f t="shared" si="106"/>
        <v>1980</v>
      </c>
      <c r="W505" s="4">
        <f t="shared" si="104"/>
        <v>165</v>
      </c>
      <c r="Y505" s="4">
        <f t="shared" si="105"/>
        <v>171.875</v>
      </c>
    </row>
    <row r="506" spans="1:25" ht="14.5" hidden="1" customHeight="1" outlineLevel="1" x14ac:dyDescent="0.35">
      <c r="A506" s="39" t="s">
        <v>1477</v>
      </c>
      <c r="B506" s="39" t="s">
        <v>109</v>
      </c>
      <c r="C506" s="39" t="s">
        <v>1478</v>
      </c>
      <c r="D506" s="39" t="s">
        <v>1479</v>
      </c>
      <c r="E506" s="40" t="s">
        <v>165</v>
      </c>
      <c r="F506" s="39" t="s">
        <v>41</v>
      </c>
      <c r="G506" s="39" t="s">
        <v>1480</v>
      </c>
      <c r="H506" s="41">
        <v>10</v>
      </c>
      <c r="I506" s="36">
        <f t="shared" si="99"/>
        <v>40000</v>
      </c>
      <c r="J506" s="37">
        <f t="shared" si="97"/>
        <v>0.5</v>
      </c>
      <c r="K506" s="37">
        <f t="shared" si="98"/>
        <v>0.75</v>
      </c>
      <c r="M506" s="37">
        <f t="shared" si="100"/>
        <v>0.3125</v>
      </c>
      <c r="O506" s="4">
        <f t="shared" si="101"/>
        <v>150000</v>
      </c>
      <c r="Q506" s="4">
        <f t="shared" si="102"/>
        <v>12500</v>
      </c>
      <c r="S506" s="4">
        <f t="shared" si="103"/>
        <v>500</v>
      </c>
      <c r="U506" s="4">
        <f t="shared" si="106"/>
        <v>1800</v>
      </c>
      <c r="W506" s="4">
        <f t="shared" si="104"/>
        <v>150</v>
      </c>
      <c r="Y506" s="4">
        <f t="shared" si="105"/>
        <v>156.25</v>
      </c>
    </row>
    <row r="507" spans="1:25" ht="14.5" hidden="1" customHeight="1" outlineLevel="1" x14ac:dyDescent="0.35">
      <c r="A507" s="39" t="s">
        <v>1481</v>
      </c>
      <c r="B507" s="39" t="s">
        <v>109</v>
      </c>
      <c r="C507" s="39" t="s">
        <v>1482</v>
      </c>
      <c r="D507" s="39" t="s">
        <v>1483</v>
      </c>
      <c r="E507" s="40" t="s">
        <v>165</v>
      </c>
      <c r="F507" s="39" t="s">
        <v>41</v>
      </c>
      <c r="G507" s="39" t="s">
        <v>1484</v>
      </c>
      <c r="H507" s="41">
        <v>10</v>
      </c>
      <c r="I507" s="36">
        <f t="shared" si="99"/>
        <v>40000</v>
      </c>
      <c r="J507" s="37">
        <f t="shared" si="97"/>
        <v>0.5</v>
      </c>
      <c r="K507" s="37">
        <f t="shared" si="98"/>
        <v>0.75</v>
      </c>
      <c r="M507" s="37">
        <f t="shared" si="100"/>
        <v>0.3125</v>
      </c>
      <c r="O507" s="4">
        <f t="shared" si="101"/>
        <v>150000</v>
      </c>
      <c r="Q507" s="4">
        <f t="shared" si="102"/>
        <v>12500</v>
      </c>
      <c r="S507" s="4">
        <f t="shared" si="103"/>
        <v>500</v>
      </c>
      <c r="U507" s="4">
        <f t="shared" si="106"/>
        <v>1800</v>
      </c>
      <c r="W507" s="4">
        <f t="shared" si="104"/>
        <v>150</v>
      </c>
      <c r="Y507" s="4">
        <f t="shared" si="105"/>
        <v>156.25</v>
      </c>
    </row>
    <row r="508" spans="1:25" ht="14.5" hidden="1" customHeight="1" outlineLevel="1" x14ac:dyDescent="0.35">
      <c r="A508" s="39" t="s">
        <v>1485</v>
      </c>
      <c r="B508" s="39" t="s">
        <v>109</v>
      </c>
      <c r="C508" s="39" t="s">
        <v>109</v>
      </c>
      <c r="D508" s="39" t="s">
        <v>1486</v>
      </c>
      <c r="E508" s="40" t="s">
        <v>302</v>
      </c>
      <c r="F508" s="39" t="s">
        <v>41</v>
      </c>
      <c r="G508" s="39" t="s">
        <v>1487</v>
      </c>
      <c r="H508" s="41">
        <v>10</v>
      </c>
      <c r="I508" s="36">
        <f t="shared" si="99"/>
        <v>40000</v>
      </c>
      <c r="J508" s="37">
        <f t="shared" si="97"/>
        <v>0.5</v>
      </c>
      <c r="K508" s="37">
        <f t="shared" si="98"/>
        <v>0.75</v>
      </c>
      <c r="M508" s="37">
        <f t="shared" si="100"/>
        <v>0.3125</v>
      </c>
      <c r="O508" s="4">
        <f t="shared" si="101"/>
        <v>150000</v>
      </c>
      <c r="Q508" s="4">
        <f t="shared" si="102"/>
        <v>12500</v>
      </c>
      <c r="S508" s="4">
        <f t="shared" si="103"/>
        <v>500</v>
      </c>
      <c r="U508" s="4">
        <f t="shared" si="106"/>
        <v>1800</v>
      </c>
      <c r="W508" s="4">
        <f t="shared" si="104"/>
        <v>150</v>
      </c>
      <c r="Y508" s="4">
        <f t="shared" si="105"/>
        <v>156.25</v>
      </c>
    </row>
    <row r="509" spans="1:25" ht="14.5" hidden="1" customHeight="1" outlineLevel="1" x14ac:dyDescent="0.35">
      <c r="A509" s="39" t="s">
        <v>1488</v>
      </c>
      <c r="B509" s="39" t="s">
        <v>109</v>
      </c>
      <c r="C509" s="39" t="s">
        <v>109</v>
      </c>
      <c r="D509" s="39" t="s">
        <v>1489</v>
      </c>
      <c r="E509" s="40" t="s">
        <v>302</v>
      </c>
      <c r="F509" s="39" t="s">
        <v>41</v>
      </c>
      <c r="G509" s="39" t="s">
        <v>110</v>
      </c>
      <c r="H509" s="41">
        <v>10</v>
      </c>
      <c r="I509" s="36">
        <f t="shared" si="99"/>
        <v>40000</v>
      </c>
      <c r="J509" s="37">
        <f t="shared" si="97"/>
        <v>0.5</v>
      </c>
      <c r="K509" s="37">
        <f t="shared" si="98"/>
        <v>0.75</v>
      </c>
      <c r="M509" s="37">
        <f t="shared" si="100"/>
        <v>0.3125</v>
      </c>
      <c r="O509" s="4">
        <f t="shared" si="101"/>
        <v>150000</v>
      </c>
      <c r="Q509" s="4">
        <f t="shared" si="102"/>
        <v>12500</v>
      </c>
      <c r="S509" s="4">
        <f t="shared" si="103"/>
        <v>500</v>
      </c>
      <c r="U509" s="4">
        <f t="shared" si="106"/>
        <v>1800</v>
      </c>
      <c r="W509" s="4">
        <f t="shared" si="104"/>
        <v>150</v>
      </c>
      <c r="Y509" s="4">
        <f t="shared" si="105"/>
        <v>156.25</v>
      </c>
    </row>
    <row r="510" spans="1:25" ht="14.5" hidden="1" customHeight="1" outlineLevel="1" x14ac:dyDescent="0.35">
      <c r="A510" s="39" t="s">
        <v>1490</v>
      </c>
      <c r="B510" s="39" t="s">
        <v>109</v>
      </c>
      <c r="C510" s="39" t="s">
        <v>1491</v>
      </c>
      <c r="D510" s="39" t="s">
        <v>1492</v>
      </c>
      <c r="E510" s="40" t="s">
        <v>106</v>
      </c>
      <c r="F510" s="39" t="s">
        <v>41</v>
      </c>
      <c r="G510" s="39" t="s">
        <v>1493</v>
      </c>
      <c r="H510" s="41">
        <v>9</v>
      </c>
      <c r="I510" s="36">
        <f t="shared" si="99"/>
        <v>36000</v>
      </c>
      <c r="J510" s="37">
        <f t="shared" si="97"/>
        <v>0.45</v>
      </c>
      <c r="K510" s="37">
        <f t="shared" si="98"/>
        <v>0.67499999999999993</v>
      </c>
      <c r="M510" s="37">
        <f t="shared" si="100"/>
        <v>0.28125</v>
      </c>
      <c r="O510" s="4">
        <f t="shared" si="101"/>
        <v>135000</v>
      </c>
      <c r="Q510" s="4">
        <f t="shared" si="102"/>
        <v>11250</v>
      </c>
      <c r="S510" s="4">
        <f t="shared" si="103"/>
        <v>450</v>
      </c>
      <c r="U510" s="4">
        <f t="shared" si="106"/>
        <v>1620</v>
      </c>
      <c r="W510" s="4">
        <f t="shared" si="104"/>
        <v>135</v>
      </c>
      <c r="Y510" s="4">
        <f t="shared" si="105"/>
        <v>140.625</v>
      </c>
    </row>
    <row r="511" spans="1:25" ht="14.5" hidden="1" customHeight="1" outlineLevel="1" x14ac:dyDescent="0.35">
      <c r="A511" s="39" t="s">
        <v>1494</v>
      </c>
      <c r="B511" s="39" t="s">
        <v>109</v>
      </c>
      <c r="C511" s="39" t="s">
        <v>1495</v>
      </c>
      <c r="D511" s="39" t="s">
        <v>1496</v>
      </c>
      <c r="E511" s="40" t="s">
        <v>186</v>
      </c>
      <c r="F511" s="39" t="s">
        <v>41</v>
      </c>
      <c r="G511" s="39" t="s">
        <v>110</v>
      </c>
      <c r="H511" s="41">
        <v>9</v>
      </c>
      <c r="I511" s="36">
        <f t="shared" si="99"/>
        <v>36000</v>
      </c>
      <c r="J511" s="37">
        <f t="shared" si="97"/>
        <v>0.45</v>
      </c>
      <c r="K511" s="37">
        <f t="shared" si="98"/>
        <v>0.67499999999999993</v>
      </c>
      <c r="M511" s="37">
        <f t="shared" si="100"/>
        <v>0.28125</v>
      </c>
      <c r="O511" s="4">
        <f t="shared" si="101"/>
        <v>135000</v>
      </c>
      <c r="Q511" s="4">
        <f t="shared" si="102"/>
        <v>11250</v>
      </c>
      <c r="S511" s="4">
        <f t="shared" si="103"/>
        <v>450</v>
      </c>
      <c r="U511" s="4">
        <f t="shared" si="106"/>
        <v>1620</v>
      </c>
      <c r="W511" s="4">
        <f t="shared" si="104"/>
        <v>135</v>
      </c>
      <c r="Y511" s="4">
        <f t="shared" si="105"/>
        <v>140.625</v>
      </c>
    </row>
    <row r="512" spans="1:25" ht="14.5" hidden="1" customHeight="1" outlineLevel="1" x14ac:dyDescent="0.35">
      <c r="A512" s="39" t="s">
        <v>1497</v>
      </c>
      <c r="B512" s="39" t="s">
        <v>109</v>
      </c>
      <c r="C512" s="39" t="s">
        <v>109</v>
      </c>
      <c r="D512" s="39" t="s">
        <v>1498</v>
      </c>
      <c r="E512" s="40" t="s">
        <v>78</v>
      </c>
      <c r="F512" s="39" t="s">
        <v>41</v>
      </c>
      <c r="G512" s="39" t="s">
        <v>110</v>
      </c>
      <c r="H512" s="41">
        <v>9</v>
      </c>
      <c r="I512" s="36">
        <f t="shared" si="99"/>
        <v>36000</v>
      </c>
      <c r="J512" s="37">
        <f t="shared" si="97"/>
        <v>0.45</v>
      </c>
      <c r="K512" s="37">
        <f t="shared" si="98"/>
        <v>0.67499999999999993</v>
      </c>
      <c r="M512" s="37">
        <f t="shared" si="100"/>
        <v>0.28125</v>
      </c>
      <c r="O512" s="4">
        <f t="shared" si="101"/>
        <v>135000</v>
      </c>
      <c r="Q512" s="4">
        <f t="shared" si="102"/>
        <v>11250</v>
      </c>
      <c r="S512" s="4">
        <f t="shared" si="103"/>
        <v>450</v>
      </c>
      <c r="U512" s="4">
        <f t="shared" si="106"/>
        <v>1620</v>
      </c>
      <c r="W512" s="4">
        <f t="shared" si="104"/>
        <v>135</v>
      </c>
      <c r="Y512" s="4">
        <f t="shared" si="105"/>
        <v>140.625</v>
      </c>
    </row>
    <row r="513" spans="1:25" ht="14.5" hidden="1" customHeight="1" outlineLevel="1" x14ac:dyDescent="0.35">
      <c r="A513" s="39" t="s">
        <v>1499</v>
      </c>
      <c r="B513" s="39" t="s">
        <v>109</v>
      </c>
      <c r="C513" s="39" t="s">
        <v>1500</v>
      </c>
      <c r="D513" s="39" t="s">
        <v>1501</v>
      </c>
      <c r="E513" s="40" t="s">
        <v>95</v>
      </c>
      <c r="F513" s="39" t="s">
        <v>41</v>
      </c>
      <c r="G513" s="39" t="s">
        <v>110</v>
      </c>
      <c r="H513" s="41">
        <v>9</v>
      </c>
      <c r="I513" s="36">
        <f t="shared" si="99"/>
        <v>36000</v>
      </c>
      <c r="J513" s="37">
        <f t="shared" si="97"/>
        <v>0.45</v>
      </c>
      <c r="K513" s="37">
        <f t="shared" si="98"/>
        <v>0.67499999999999993</v>
      </c>
      <c r="M513" s="37">
        <f t="shared" si="100"/>
        <v>0.28125</v>
      </c>
      <c r="O513" s="4">
        <f t="shared" si="101"/>
        <v>135000</v>
      </c>
      <c r="Q513" s="4">
        <f t="shared" si="102"/>
        <v>11250</v>
      </c>
      <c r="S513" s="4">
        <f t="shared" si="103"/>
        <v>450</v>
      </c>
      <c r="U513" s="4">
        <f t="shared" si="106"/>
        <v>1620</v>
      </c>
      <c r="W513" s="4">
        <f t="shared" si="104"/>
        <v>135</v>
      </c>
      <c r="Y513" s="4">
        <f t="shared" si="105"/>
        <v>140.625</v>
      </c>
    </row>
    <row r="514" spans="1:25" ht="14.5" hidden="1" customHeight="1" outlineLevel="1" x14ac:dyDescent="0.35">
      <c r="A514" s="39" t="s">
        <v>1502</v>
      </c>
      <c r="B514" s="39" t="s">
        <v>109</v>
      </c>
      <c r="C514" s="39" t="s">
        <v>109</v>
      </c>
      <c r="D514" s="39" t="s">
        <v>1503</v>
      </c>
      <c r="E514" s="40" t="s">
        <v>1166</v>
      </c>
      <c r="F514" s="39" t="s">
        <v>41</v>
      </c>
      <c r="G514" s="39" t="s">
        <v>1504</v>
      </c>
      <c r="H514" s="41">
        <v>9</v>
      </c>
      <c r="I514" s="36">
        <f t="shared" si="99"/>
        <v>36000</v>
      </c>
      <c r="J514" s="37">
        <f t="shared" si="97"/>
        <v>0.45</v>
      </c>
      <c r="K514" s="37">
        <f t="shared" si="98"/>
        <v>0.67499999999999993</v>
      </c>
      <c r="M514" s="37">
        <f t="shared" si="100"/>
        <v>0.28125</v>
      </c>
      <c r="O514" s="4">
        <f t="shared" si="101"/>
        <v>135000</v>
      </c>
      <c r="Q514" s="4">
        <f t="shared" si="102"/>
        <v>11250</v>
      </c>
      <c r="S514" s="4">
        <f t="shared" si="103"/>
        <v>450</v>
      </c>
      <c r="U514" s="4">
        <f t="shared" si="106"/>
        <v>1620</v>
      </c>
      <c r="W514" s="4">
        <f t="shared" si="104"/>
        <v>135</v>
      </c>
      <c r="Y514" s="4">
        <f t="shared" si="105"/>
        <v>140.625</v>
      </c>
    </row>
    <row r="515" spans="1:25" ht="14.5" hidden="1" customHeight="1" outlineLevel="1" x14ac:dyDescent="0.35">
      <c r="A515" s="39" t="s">
        <v>1505</v>
      </c>
      <c r="B515" s="39" t="s">
        <v>109</v>
      </c>
      <c r="C515" s="39" t="s">
        <v>109</v>
      </c>
      <c r="D515" s="39" t="s">
        <v>1506</v>
      </c>
      <c r="E515" s="40" t="s">
        <v>51</v>
      </c>
      <c r="F515" s="39" t="s">
        <v>41</v>
      </c>
      <c r="G515" s="39" t="s">
        <v>1507</v>
      </c>
      <c r="H515" s="41">
        <v>9</v>
      </c>
      <c r="I515" s="36">
        <f t="shared" si="99"/>
        <v>36000</v>
      </c>
      <c r="J515" s="37">
        <f t="shared" si="97"/>
        <v>0.45</v>
      </c>
      <c r="K515" s="37">
        <f t="shared" si="98"/>
        <v>0.67499999999999993</v>
      </c>
      <c r="M515" s="37">
        <f t="shared" si="100"/>
        <v>0.28125</v>
      </c>
      <c r="O515" s="4">
        <f t="shared" si="101"/>
        <v>135000</v>
      </c>
      <c r="Q515" s="4">
        <f t="shared" si="102"/>
        <v>11250</v>
      </c>
      <c r="S515" s="4">
        <f t="shared" si="103"/>
        <v>450</v>
      </c>
      <c r="U515" s="4">
        <f t="shared" si="106"/>
        <v>1620</v>
      </c>
      <c r="W515" s="4">
        <f t="shared" si="104"/>
        <v>135</v>
      </c>
      <c r="Y515" s="4">
        <f t="shared" si="105"/>
        <v>140.625</v>
      </c>
    </row>
    <row r="516" spans="1:25" ht="14.5" hidden="1" customHeight="1" outlineLevel="1" x14ac:dyDescent="0.35">
      <c r="A516" s="39" t="s">
        <v>1508</v>
      </c>
      <c r="B516" s="39" t="s">
        <v>109</v>
      </c>
      <c r="C516" s="39" t="s">
        <v>109</v>
      </c>
      <c r="D516" s="39" t="s">
        <v>1509</v>
      </c>
      <c r="E516" s="40" t="s">
        <v>302</v>
      </c>
      <c r="F516" s="39" t="s">
        <v>41</v>
      </c>
      <c r="G516" s="39" t="s">
        <v>1510</v>
      </c>
      <c r="H516" s="41">
        <v>9</v>
      </c>
      <c r="I516" s="36">
        <f t="shared" si="99"/>
        <v>36000</v>
      </c>
      <c r="J516" s="37">
        <f t="shared" si="97"/>
        <v>0.45</v>
      </c>
      <c r="K516" s="37">
        <f t="shared" si="98"/>
        <v>0.67499999999999993</v>
      </c>
      <c r="M516" s="37">
        <f t="shared" si="100"/>
        <v>0.28125</v>
      </c>
      <c r="O516" s="4">
        <f t="shared" si="101"/>
        <v>135000</v>
      </c>
      <c r="Q516" s="4">
        <f t="shared" si="102"/>
        <v>11250</v>
      </c>
      <c r="S516" s="4">
        <f t="shared" si="103"/>
        <v>450</v>
      </c>
      <c r="U516" s="4">
        <f t="shared" si="106"/>
        <v>1620</v>
      </c>
      <c r="W516" s="4">
        <f t="shared" si="104"/>
        <v>135</v>
      </c>
      <c r="Y516" s="4">
        <f t="shared" si="105"/>
        <v>140.625</v>
      </c>
    </row>
    <row r="517" spans="1:25" ht="14.5" hidden="1" customHeight="1" outlineLevel="1" x14ac:dyDescent="0.35">
      <c r="A517" s="39" t="s">
        <v>1511</v>
      </c>
      <c r="B517" s="39" t="s">
        <v>109</v>
      </c>
      <c r="C517" s="39" t="s">
        <v>1512</v>
      </c>
      <c r="D517" s="39" t="s">
        <v>1513</v>
      </c>
      <c r="E517" s="40" t="s">
        <v>721</v>
      </c>
      <c r="F517" s="39" t="s">
        <v>41</v>
      </c>
      <c r="G517" s="39" t="s">
        <v>1514</v>
      </c>
      <c r="H517" s="41">
        <v>9</v>
      </c>
      <c r="I517" s="36">
        <f t="shared" si="99"/>
        <v>36000</v>
      </c>
      <c r="J517" s="37">
        <f t="shared" si="97"/>
        <v>0.45</v>
      </c>
      <c r="K517" s="37">
        <f t="shared" si="98"/>
        <v>0.67499999999999993</v>
      </c>
      <c r="M517" s="37">
        <f t="shared" si="100"/>
        <v>0.28125</v>
      </c>
      <c r="O517" s="4">
        <f t="shared" si="101"/>
        <v>135000</v>
      </c>
      <c r="Q517" s="4">
        <f t="shared" si="102"/>
        <v>11250</v>
      </c>
      <c r="S517" s="4">
        <f t="shared" si="103"/>
        <v>450</v>
      </c>
      <c r="U517" s="4">
        <f t="shared" si="106"/>
        <v>1620</v>
      </c>
      <c r="W517" s="4">
        <f t="shared" si="104"/>
        <v>135</v>
      </c>
      <c r="Y517" s="4">
        <f t="shared" si="105"/>
        <v>140.625</v>
      </c>
    </row>
    <row r="518" spans="1:25" ht="14.5" hidden="1" customHeight="1" outlineLevel="1" x14ac:dyDescent="0.35">
      <c r="A518" s="39" t="s">
        <v>1515</v>
      </c>
      <c r="B518" s="39" t="s">
        <v>109</v>
      </c>
      <c r="C518" s="39" t="s">
        <v>109</v>
      </c>
      <c r="D518" s="39" t="s">
        <v>1516</v>
      </c>
      <c r="E518" s="40" t="s">
        <v>436</v>
      </c>
      <c r="F518" s="39" t="s">
        <v>41</v>
      </c>
      <c r="G518" s="39" t="s">
        <v>1517</v>
      </c>
      <c r="H518" s="41">
        <v>9</v>
      </c>
      <c r="I518" s="36">
        <f t="shared" si="99"/>
        <v>36000</v>
      </c>
      <c r="J518" s="37">
        <f t="shared" si="97"/>
        <v>0.45</v>
      </c>
      <c r="K518" s="37">
        <f t="shared" si="98"/>
        <v>0.67499999999999993</v>
      </c>
      <c r="M518" s="37">
        <f t="shared" si="100"/>
        <v>0.28125</v>
      </c>
      <c r="O518" s="4">
        <f t="shared" si="101"/>
        <v>135000</v>
      </c>
      <c r="Q518" s="4">
        <f t="shared" si="102"/>
        <v>11250</v>
      </c>
      <c r="S518" s="4">
        <f t="shared" si="103"/>
        <v>450</v>
      </c>
      <c r="U518" s="4">
        <f t="shared" si="106"/>
        <v>1620</v>
      </c>
      <c r="W518" s="4">
        <f t="shared" si="104"/>
        <v>135</v>
      </c>
      <c r="Y518" s="4">
        <f t="shared" si="105"/>
        <v>140.625</v>
      </c>
    </row>
    <row r="519" spans="1:25" ht="14.5" hidden="1" customHeight="1" outlineLevel="1" x14ac:dyDescent="0.35">
      <c r="A519" s="39" t="s">
        <v>1518</v>
      </c>
      <c r="B519" s="39" t="s">
        <v>109</v>
      </c>
      <c r="C519" s="39" t="s">
        <v>109</v>
      </c>
      <c r="D519" s="39" t="s">
        <v>1519</v>
      </c>
      <c r="E519" s="40" t="s">
        <v>165</v>
      </c>
      <c r="F519" s="39" t="s">
        <v>41</v>
      </c>
      <c r="G519" s="39" t="s">
        <v>110</v>
      </c>
      <c r="H519" s="41">
        <v>9</v>
      </c>
      <c r="I519" s="36">
        <f t="shared" si="99"/>
        <v>36000</v>
      </c>
      <c r="J519" s="37">
        <f t="shared" si="97"/>
        <v>0.45</v>
      </c>
      <c r="K519" s="37">
        <f t="shared" si="98"/>
        <v>0.67499999999999993</v>
      </c>
      <c r="M519" s="37">
        <f t="shared" si="100"/>
        <v>0.28125</v>
      </c>
      <c r="O519" s="4">
        <f t="shared" si="101"/>
        <v>135000</v>
      </c>
      <c r="Q519" s="4">
        <f t="shared" si="102"/>
        <v>11250</v>
      </c>
      <c r="S519" s="4">
        <f t="shared" si="103"/>
        <v>450</v>
      </c>
      <c r="U519" s="4">
        <f t="shared" si="106"/>
        <v>1620</v>
      </c>
      <c r="W519" s="4">
        <f t="shared" si="104"/>
        <v>135</v>
      </c>
      <c r="Y519" s="4">
        <f t="shared" si="105"/>
        <v>140.625</v>
      </c>
    </row>
    <row r="520" spans="1:25" ht="14.5" hidden="1" customHeight="1" outlineLevel="1" x14ac:dyDescent="0.35">
      <c r="A520" s="39" t="s">
        <v>1520</v>
      </c>
      <c r="B520" s="39" t="s">
        <v>109</v>
      </c>
      <c r="C520" s="39" t="s">
        <v>1521</v>
      </c>
      <c r="D520" s="39" t="s">
        <v>1522</v>
      </c>
      <c r="E520" s="40" t="s">
        <v>100</v>
      </c>
      <c r="F520" s="39" t="s">
        <v>101</v>
      </c>
      <c r="G520" s="39" t="s">
        <v>1523</v>
      </c>
      <c r="H520" s="41">
        <v>8</v>
      </c>
      <c r="I520" s="36">
        <f t="shared" si="99"/>
        <v>32000</v>
      </c>
      <c r="J520" s="37">
        <f t="shared" si="97"/>
        <v>0.4</v>
      </c>
      <c r="K520" s="37">
        <f t="shared" si="98"/>
        <v>0.6</v>
      </c>
      <c r="M520" s="37">
        <f t="shared" si="100"/>
        <v>0.25</v>
      </c>
      <c r="O520" s="4">
        <f t="shared" si="101"/>
        <v>120000</v>
      </c>
      <c r="Q520" s="4">
        <f t="shared" si="102"/>
        <v>10000</v>
      </c>
      <c r="S520" s="4">
        <f t="shared" si="103"/>
        <v>400</v>
      </c>
      <c r="U520" s="4">
        <f t="shared" si="106"/>
        <v>1440</v>
      </c>
      <c r="W520" s="4">
        <f t="shared" si="104"/>
        <v>120</v>
      </c>
      <c r="Y520" s="4">
        <f t="shared" si="105"/>
        <v>125</v>
      </c>
    </row>
    <row r="521" spans="1:25" ht="14.5" hidden="1" customHeight="1" outlineLevel="1" x14ac:dyDescent="0.35">
      <c r="A521" s="39" t="s">
        <v>1524</v>
      </c>
      <c r="B521" s="39" t="s">
        <v>109</v>
      </c>
      <c r="C521" s="39" t="s">
        <v>109</v>
      </c>
      <c r="D521" s="39" t="s">
        <v>1525</v>
      </c>
      <c r="E521" s="40" t="s">
        <v>841</v>
      </c>
      <c r="F521" s="39" t="s">
        <v>101</v>
      </c>
      <c r="G521" s="39" t="s">
        <v>110</v>
      </c>
      <c r="H521" s="41">
        <v>8</v>
      </c>
      <c r="I521" s="36">
        <f t="shared" si="99"/>
        <v>32000</v>
      </c>
      <c r="J521" s="37">
        <f t="shared" si="97"/>
        <v>0.4</v>
      </c>
      <c r="K521" s="37">
        <f t="shared" si="98"/>
        <v>0.6</v>
      </c>
      <c r="M521" s="37">
        <f t="shared" si="100"/>
        <v>0.25</v>
      </c>
      <c r="O521" s="4">
        <f t="shared" si="101"/>
        <v>120000</v>
      </c>
      <c r="Q521" s="4">
        <f t="shared" si="102"/>
        <v>10000</v>
      </c>
      <c r="S521" s="4">
        <f t="shared" si="103"/>
        <v>400</v>
      </c>
      <c r="U521" s="4">
        <f t="shared" si="106"/>
        <v>1440</v>
      </c>
      <c r="W521" s="4">
        <f t="shared" si="104"/>
        <v>120</v>
      </c>
      <c r="Y521" s="4">
        <f t="shared" si="105"/>
        <v>125</v>
      </c>
    </row>
    <row r="522" spans="1:25" ht="14.5" hidden="1" customHeight="1" outlineLevel="1" x14ac:dyDescent="0.35">
      <c r="A522" s="39" t="s">
        <v>1526</v>
      </c>
      <c r="B522" s="39" t="s">
        <v>109</v>
      </c>
      <c r="C522" s="39" t="s">
        <v>109</v>
      </c>
      <c r="D522" s="39" t="s">
        <v>848</v>
      </c>
      <c r="E522" s="40" t="s">
        <v>165</v>
      </c>
      <c r="F522" s="39" t="s">
        <v>41</v>
      </c>
      <c r="G522" s="39" t="s">
        <v>1527</v>
      </c>
      <c r="H522" s="41">
        <v>8</v>
      </c>
      <c r="I522" s="36">
        <f t="shared" si="99"/>
        <v>32000</v>
      </c>
      <c r="J522" s="37">
        <f t="shared" si="97"/>
        <v>0.4</v>
      </c>
      <c r="K522" s="37">
        <f t="shared" si="98"/>
        <v>0.6</v>
      </c>
      <c r="M522" s="37">
        <f t="shared" si="100"/>
        <v>0.25</v>
      </c>
      <c r="O522" s="4">
        <f t="shared" si="101"/>
        <v>120000</v>
      </c>
      <c r="Q522" s="4">
        <f t="shared" si="102"/>
        <v>10000</v>
      </c>
      <c r="S522" s="4">
        <f t="shared" si="103"/>
        <v>400</v>
      </c>
      <c r="U522" s="4">
        <f t="shared" si="106"/>
        <v>1440</v>
      </c>
      <c r="W522" s="4">
        <f t="shared" si="104"/>
        <v>120</v>
      </c>
      <c r="Y522" s="4">
        <f t="shared" si="105"/>
        <v>125</v>
      </c>
    </row>
    <row r="523" spans="1:25" ht="14.5" hidden="1" customHeight="1" outlineLevel="1" x14ac:dyDescent="0.35">
      <c r="A523" s="39" t="s">
        <v>1528</v>
      </c>
      <c r="B523" s="39" t="s">
        <v>109</v>
      </c>
      <c r="C523" s="39" t="s">
        <v>109</v>
      </c>
      <c r="D523" s="39" t="s">
        <v>1529</v>
      </c>
      <c r="E523" s="40" t="s">
        <v>302</v>
      </c>
      <c r="F523" s="39" t="s">
        <v>41</v>
      </c>
      <c r="G523" s="39" t="s">
        <v>110</v>
      </c>
      <c r="H523" s="41">
        <v>8</v>
      </c>
      <c r="I523" s="36">
        <f t="shared" si="99"/>
        <v>32000</v>
      </c>
      <c r="J523" s="37">
        <f t="shared" si="97"/>
        <v>0.4</v>
      </c>
      <c r="K523" s="37">
        <f t="shared" si="98"/>
        <v>0.6</v>
      </c>
      <c r="M523" s="37">
        <f t="shared" si="100"/>
        <v>0.25</v>
      </c>
      <c r="O523" s="4">
        <f t="shared" si="101"/>
        <v>120000</v>
      </c>
      <c r="Q523" s="4">
        <f t="shared" si="102"/>
        <v>10000</v>
      </c>
      <c r="S523" s="4">
        <f t="shared" si="103"/>
        <v>400</v>
      </c>
      <c r="U523" s="4">
        <f t="shared" si="106"/>
        <v>1440</v>
      </c>
      <c r="W523" s="4">
        <f t="shared" si="104"/>
        <v>120</v>
      </c>
      <c r="Y523" s="4">
        <f t="shared" si="105"/>
        <v>125</v>
      </c>
    </row>
    <row r="524" spans="1:25" ht="14.5" hidden="1" customHeight="1" outlineLevel="1" x14ac:dyDescent="0.35">
      <c r="A524" s="39" t="s">
        <v>1530</v>
      </c>
      <c r="B524" s="39" t="s">
        <v>109</v>
      </c>
      <c r="C524" s="39" t="s">
        <v>109</v>
      </c>
      <c r="D524" s="39" t="s">
        <v>1326</v>
      </c>
      <c r="E524" s="40" t="s">
        <v>95</v>
      </c>
      <c r="F524" s="39" t="s">
        <v>41</v>
      </c>
      <c r="G524" s="39" t="s">
        <v>1531</v>
      </c>
      <c r="H524" s="41">
        <v>8</v>
      </c>
      <c r="I524" s="36">
        <f t="shared" si="99"/>
        <v>32000</v>
      </c>
      <c r="J524" s="37">
        <f t="shared" si="97"/>
        <v>0.4</v>
      </c>
      <c r="K524" s="37">
        <f t="shared" si="98"/>
        <v>0.6</v>
      </c>
      <c r="M524" s="37">
        <f t="shared" si="100"/>
        <v>0.25</v>
      </c>
      <c r="O524" s="4">
        <f t="shared" si="101"/>
        <v>120000</v>
      </c>
      <c r="Q524" s="4">
        <f t="shared" si="102"/>
        <v>10000</v>
      </c>
      <c r="S524" s="4">
        <f t="shared" si="103"/>
        <v>400</v>
      </c>
      <c r="U524" s="4">
        <f t="shared" si="106"/>
        <v>1440</v>
      </c>
      <c r="W524" s="4">
        <f t="shared" si="104"/>
        <v>120</v>
      </c>
      <c r="Y524" s="4">
        <f t="shared" si="105"/>
        <v>125</v>
      </c>
    </row>
    <row r="525" spans="1:25" ht="14.5" hidden="1" customHeight="1" outlineLevel="1" x14ac:dyDescent="0.35">
      <c r="A525" s="39" t="s">
        <v>1532</v>
      </c>
      <c r="B525" s="39" t="s">
        <v>109</v>
      </c>
      <c r="C525" s="39" t="s">
        <v>109</v>
      </c>
      <c r="D525" s="39" t="s">
        <v>1533</v>
      </c>
      <c r="E525" s="40" t="s">
        <v>70</v>
      </c>
      <c r="F525" s="39" t="s">
        <v>41</v>
      </c>
      <c r="G525" s="39" t="s">
        <v>1534</v>
      </c>
      <c r="H525" s="41">
        <v>8</v>
      </c>
      <c r="I525" s="36">
        <f t="shared" si="99"/>
        <v>32000</v>
      </c>
      <c r="J525" s="37">
        <f t="shared" si="97"/>
        <v>0.4</v>
      </c>
      <c r="K525" s="37">
        <f t="shared" si="98"/>
        <v>0.6</v>
      </c>
      <c r="M525" s="37">
        <f t="shared" si="100"/>
        <v>0.25</v>
      </c>
      <c r="O525" s="4">
        <f t="shared" si="101"/>
        <v>120000</v>
      </c>
      <c r="Q525" s="4">
        <f t="shared" si="102"/>
        <v>10000</v>
      </c>
      <c r="S525" s="4">
        <f t="shared" si="103"/>
        <v>400</v>
      </c>
      <c r="U525" s="4">
        <f t="shared" si="106"/>
        <v>1440</v>
      </c>
      <c r="W525" s="4">
        <f t="shared" si="104"/>
        <v>120</v>
      </c>
      <c r="Y525" s="4">
        <f t="shared" si="105"/>
        <v>125</v>
      </c>
    </row>
    <row r="526" spans="1:25" ht="14.5" hidden="1" customHeight="1" outlineLevel="1" x14ac:dyDescent="0.35">
      <c r="A526" s="39" t="s">
        <v>1535</v>
      </c>
      <c r="B526" s="39" t="s">
        <v>109</v>
      </c>
      <c r="C526" s="39" t="s">
        <v>109</v>
      </c>
      <c r="D526" s="39" t="s">
        <v>308</v>
      </c>
      <c r="E526" s="40" t="s">
        <v>211</v>
      </c>
      <c r="F526" s="39" t="s">
        <v>41</v>
      </c>
      <c r="G526" s="39" t="s">
        <v>110</v>
      </c>
      <c r="H526" s="41">
        <v>7</v>
      </c>
      <c r="I526" s="36">
        <f t="shared" si="99"/>
        <v>28000</v>
      </c>
      <c r="J526" s="37">
        <f t="shared" si="97"/>
        <v>0.35000000000000003</v>
      </c>
      <c r="K526" s="37">
        <f t="shared" si="98"/>
        <v>0.52500000000000002</v>
      </c>
      <c r="M526" s="37">
        <f t="shared" si="100"/>
        <v>0.21875</v>
      </c>
      <c r="O526" s="4">
        <f t="shared" si="101"/>
        <v>105000</v>
      </c>
      <c r="Q526" s="4">
        <f t="shared" si="102"/>
        <v>8750</v>
      </c>
      <c r="S526" s="4">
        <f t="shared" si="103"/>
        <v>350</v>
      </c>
      <c r="U526" s="4">
        <f t="shared" si="106"/>
        <v>1260</v>
      </c>
      <c r="W526" s="4">
        <f t="shared" si="104"/>
        <v>105</v>
      </c>
      <c r="Y526" s="4">
        <f t="shared" si="105"/>
        <v>109.375</v>
      </c>
    </row>
    <row r="527" spans="1:25" ht="14.5" hidden="1" customHeight="1" outlineLevel="1" x14ac:dyDescent="0.35">
      <c r="A527" s="39" t="s">
        <v>1536</v>
      </c>
      <c r="B527" s="39" t="s">
        <v>109</v>
      </c>
      <c r="C527" s="39" t="s">
        <v>109</v>
      </c>
      <c r="D527" s="39" t="s">
        <v>1537</v>
      </c>
      <c r="E527" s="40" t="s">
        <v>302</v>
      </c>
      <c r="F527" s="39" t="s">
        <v>41</v>
      </c>
      <c r="G527" s="39" t="s">
        <v>1538</v>
      </c>
      <c r="H527" s="41">
        <v>7</v>
      </c>
      <c r="I527" s="36">
        <f t="shared" si="99"/>
        <v>28000</v>
      </c>
      <c r="J527" s="37">
        <f t="shared" si="97"/>
        <v>0.35000000000000003</v>
      </c>
      <c r="K527" s="37">
        <f t="shared" si="98"/>
        <v>0.52500000000000002</v>
      </c>
      <c r="M527" s="37">
        <f t="shared" si="100"/>
        <v>0.21875</v>
      </c>
      <c r="O527" s="4">
        <f t="shared" si="101"/>
        <v>105000</v>
      </c>
      <c r="Q527" s="4">
        <f t="shared" si="102"/>
        <v>8750</v>
      </c>
      <c r="S527" s="4">
        <f t="shared" si="103"/>
        <v>350</v>
      </c>
      <c r="U527" s="4">
        <f t="shared" si="106"/>
        <v>1260</v>
      </c>
      <c r="W527" s="4">
        <f t="shared" si="104"/>
        <v>105</v>
      </c>
      <c r="Y527" s="4">
        <f t="shared" si="105"/>
        <v>109.375</v>
      </c>
    </row>
    <row r="528" spans="1:25" ht="14.5" hidden="1" customHeight="1" outlineLevel="1" x14ac:dyDescent="0.35">
      <c r="A528" s="39" t="s">
        <v>1539</v>
      </c>
      <c r="B528" s="39" t="s">
        <v>109</v>
      </c>
      <c r="C528" s="39" t="s">
        <v>109</v>
      </c>
      <c r="D528" s="39" t="s">
        <v>1540</v>
      </c>
      <c r="E528" s="40" t="s">
        <v>95</v>
      </c>
      <c r="F528" s="39" t="s">
        <v>41</v>
      </c>
      <c r="G528" s="39" t="s">
        <v>1541</v>
      </c>
      <c r="H528" s="41">
        <v>7</v>
      </c>
      <c r="I528" s="36">
        <f t="shared" si="99"/>
        <v>28000</v>
      </c>
      <c r="J528" s="37">
        <f t="shared" si="97"/>
        <v>0.35000000000000003</v>
      </c>
      <c r="K528" s="37">
        <f t="shared" si="98"/>
        <v>0.52500000000000002</v>
      </c>
      <c r="M528" s="37">
        <f t="shared" si="100"/>
        <v>0.21875</v>
      </c>
      <c r="O528" s="4">
        <f t="shared" si="101"/>
        <v>105000</v>
      </c>
      <c r="Q528" s="4">
        <f t="shared" si="102"/>
        <v>8750</v>
      </c>
      <c r="S528" s="4">
        <f t="shared" si="103"/>
        <v>350</v>
      </c>
      <c r="U528" s="4">
        <f t="shared" si="106"/>
        <v>1260</v>
      </c>
      <c r="W528" s="4">
        <f t="shared" si="104"/>
        <v>105</v>
      </c>
      <c r="Y528" s="4">
        <f t="shared" si="105"/>
        <v>109.375</v>
      </c>
    </row>
    <row r="529" spans="1:25" ht="14.5" hidden="1" customHeight="1" outlineLevel="1" x14ac:dyDescent="0.35">
      <c r="A529" s="39" t="s">
        <v>1542</v>
      </c>
      <c r="B529" s="39" t="s">
        <v>109</v>
      </c>
      <c r="C529" s="39" t="s">
        <v>109</v>
      </c>
      <c r="D529" s="39" t="s">
        <v>1543</v>
      </c>
      <c r="E529" s="40" t="s">
        <v>1544</v>
      </c>
      <c r="F529" s="39" t="s">
        <v>41</v>
      </c>
      <c r="G529" s="39" t="s">
        <v>1545</v>
      </c>
      <c r="H529" s="41">
        <v>6</v>
      </c>
      <c r="I529" s="36">
        <f t="shared" si="99"/>
        <v>24000</v>
      </c>
      <c r="J529" s="37">
        <f t="shared" si="97"/>
        <v>0.30000000000000004</v>
      </c>
      <c r="K529" s="37">
        <f t="shared" si="98"/>
        <v>0.44999999999999996</v>
      </c>
      <c r="M529" s="37">
        <f t="shared" si="100"/>
        <v>0.1875</v>
      </c>
      <c r="O529" s="4">
        <f t="shared" si="101"/>
        <v>90000</v>
      </c>
      <c r="Q529" s="4">
        <f t="shared" si="102"/>
        <v>7500</v>
      </c>
      <c r="S529" s="4">
        <f t="shared" si="103"/>
        <v>300</v>
      </c>
      <c r="U529" s="4">
        <f t="shared" si="106"/>
        <v>1080</v>
      </c>
      <c r="W529" s="4">
        <f t="shared" si="104"/>
        <v>90</v>
      </c>
      <c r="Y529" s="4">
        <f t="shared" si="105"/>
        <v>93.75</v>
      </c>
    </row>
    <row r="530" spans="1:25" ht="14.5" hidden="1" customHeight="1" outlineLevel="1" x14ac:dyDescent="0.35">
      <c r="A530" s="39" t="s">
        <v>1546</v>
      </c>
      <c r="B530" s="39" t="s">
        <v>109</v>
      </c>
      <c r="C530" s="39" t="s">
        <v>109</v>
      </c>
      <c r="D530" s="39" t="s">
        <v>1547</v>
      </c>
      <c r="E530" s="40" t="s">
        <v>40</v>
      </c>
      <c r="F530" s="39" t="s">
        <v>41</v>
      </c>
      <c r="G530" s="39" t="s">
        <v>110</v>
      </c>
      <c r="H530" s="41">
        <v>6</v>
      </c>
      <c r="I530" s="36">
        <f t="shared" si="99"/>
        <v>24000</v>
      </c>
      <c r="J530" s="37">
        <f t="shared" si="97"/>
        <v>0.30000000000000004</v>
      </c>
      <c r="K530" s="37">
        <f t="shared" si="98"/>
        <v>0.44999999999999996</v>
      </c>
      <c r="M530" s="37">
        <f t="shared" si="100"/>
        <v>0.1875</v>
      </c>
      <c r="O530" s="4">
        <f t="shared" si="101"/>
        <v>90000</v>
      </c>
      <c r="Q530" s="4">
        <f t="shared" si="102"/>
        <v>7500</v>
      </c>
      <c r="S530" s="4">
        <f t="shared" si="103"/>
        <v>300</v>
      </c>
      <c r="U530" s="4">
        <f t="shared" si="106"/>
        <v>1080</v>
      </c>
      <c r="W530" s="4">
        <f t="shared" si="104"/>
        <v>90</v>
      </c>
      <c r="Y530" s="4">
        <f t="shared" si="105"/>
        <v>93.75</v>
      </c>
    </row>
    <row r="531" spans="1:25" ht="14.5" hidden="1" customHeight="1" outlineLevel="1" x14ac:dyDescent="0.35">
      <c r="A531" s="39" t="s">
        <v>1548</v>
      </c>
      <c r="B531" s="39" t="s">
        <v>109</v>
      </c>
      <c r="C531" s="39" t="s">
        <v>109</v>
      </c>
      <c r="D531" s="39" t="s">
        <v>1549</v>
      </c>
      <c r="E531" s="40" t="s">
        <v>126</v>
      </c>
      <c r="F531" s="39" t="s">
        <v>41</v>
      </c>
      <c r="G531" s="39" t="s">
        <v>110</v>
      </c>
      <c r="H531" s="41">
        <v>6</v>
      </c>
      <c r="I531" s="36">
        <f t="shared" si="99"/>
        <v>24000</v>
      </c>
      <c r="J531" s="37">
        <f t="shared" si="97"/>
        <v>0.30000000000000004</v>
      </c>
      <c r="K531" s="37">
        <f t="shared" si="98"/>
        <v>0.44999999999999996</v>
      </c>
      <c r="M531" s="37">
        <f t="shared" si="100"/>
        <v>0.1875</v>
      </c>
      <c r="O531" s="4">
        <f t="shared" si="101"/>
        <v>90000</v>
      </c>
      <c r="Q531" s="4">
        <f t="shared" si="102"/>
        <v>7500</v>
      </c>
      <c r="S531" s="4">
        <f t="shared" si="103"/>
        <v>300</v>
      </c>
      <c r="U531" s="4">
        <f t="shared" si="106"/>
        <v>1080</v>
      </c>
      <c r="W531" s="4">
        <f t="shared" si="104"/>
        <v>90</v>
      </c>
      <c r="Y531" s="4">
        <f t="shared" si="105"/>
        <v>93.75</v>
      </c>
    </row>
    <row r="532" spans="1:25" ht="14.5" hidden="1" customHeight="1" outlineLevel="1" x14ac:dyDescent="0.35">
      <c r="A532" s="39" t="s">
        <v>1550</v>
      </c>
      <c r="B532" s="39" t="s">
        <v>109</v>
      </c>
      <c r="C532" s="39" t="s">
        <v>1551</v>
      </c>
      <c r="D532" s="39" t="s">
        <v>1552</v>
      </c>
      <c r="E532" s="40" t="s">
        <v>95</v>
      </c>
      <c r="F532" s="39" t="s">
        <v>41</v>
      </c>
      <c r="G532" s="39" t="s">
        <v>110</v>
      </c>
      <c r="H532" s="41">
        <v>6</v>
      </c>
      <c r="I532" s="36">
        <f t="shared" si="99"/>
        <v>24000</v>
      </c>
      <c r="J532" s="37">
        <f t="shared" si="97"/>
        <v>0.30000000000000004</v>
      </c>
      <c r="K532" s="37">
        <f t="shared" si="98"/>
        <v>0.44999999999999996</v>
      </c>
      <c r="M532" s="37">
        <f t="shared" si="100"/>
        <v>0.1875</v>
      </c>
      <c r="O532" s="4">
        <f t="shared" si="101"/>
        <v>90000</v>
      </c>
      <c r="Q532" s="4">
        <f t="shared" si="102"/>
        <v>7500</v>
      </c>
      <c r="S532" s="4">
        <f t="shared" si="103"/>
        <v>300</v>
      </c>
      <c r="U532" s="4">
        <f t="shared" si="106"/>
        <v>1080</v>
      </c>
      <c r="W532" s="4">
        <f t="shared" si="104"/>
        <v>90</v>
      </c>
      <c r="Y532" s="4">
        <f t="shared" si="105"/>
        <v>93.75</v>
      </c>
    </row>
    <row r="533" spans="1:25" ht="14.5" hidden="1" customHeight="1" outlineLevel="1" x14ac:dyDescent="0.35">
      <c r="A533" s="39" t="s">
        <v>1553</v>
      </c>
      <c r="B533" s="39" t="s">
        <v>109</v>
      </c>
      <c r="C533" s="39" t="s">
        <v>1554</v>
      </c>
      <c r="D533" s="39" t="s">
        <v>1320</v>
      </c>
      <c r="E533" s="40" t="s">
        <v>95</v>
      </c>
      <c r="F533" s="39" t="s">
        <v>41</v>
      </c>
      <c r="G533" s="39" t="s">
        <v>1555</v>
      </c>
      <c r="H533" s="41">
        <v>6</v>
      </c>
      <c r="I533" s="36">
        <f t="shared" si="99"/>
        <v>24000</v>
      </c>
      <c r="J533" s="37">
        <f t="shared" si="97"/>
        <v>0.30000000000000004</v>
      </c>
      <c r="K533" s="37">
        <f t="shared" si="98"/>
        <v>0.44999999999999996</v>
      </c>
      <c r="M533" s="37">
        <f t="shared" si="100"/>
        <v>0.1875</v>
      </c>
      <c r="O533" s="4">
        <f t="shared" si="101"/>
        <v>90000</v>
      </c>
      <c r="Q533" s="4">
        <f t="shared" si="102"/>
        <v>7500</v>
      </c>
      <c r="S533" s="4">
        <f t="shared" si="103"/>
        <v>300</v>
      </c>
      <c r="U533" s="4">
        <f t="shared" si="106"/>
        <v>1080</v>
      </c>
      <c r="W533" s="4">
        <f t="shared" si="104"/>
        <v>90</v>
      </c>
      <c r="Y533" s="4">
        <f t="shared" si="105"/>
        <v>93.75</v>
      </c>
    </row>
    <row r="534" spans="1:25" ht="14.5" hidden="1" customHeight="1" outlineLevel="1" x14ac:dyDescent="0.35">
      <c r="A534" s="39" t="s">
        <v>1556</v>
      </c>
      <c r="B534" s="39" t="s">
        <v>109</v>
      </c>
      <c r="C534" s="39" t="s">
        <v>109</v>
      </c>
      <c r="D534" s="39" t="s">
        <v>1360</v>
      </c>
      <c r="E534" s="40" t="s">
        <v>61</v>
      </c>
      <c r="F534" s="39" t="s">
        <v>41</v>
      </c>
      <c r="G534" s="39" t="s">
        <v>110</v>
      </c>
      <c r="H534" s="41">
        <v>6</v>
      </c>
      <c r="I534" s="36">
        <f t="shared" si="99"/>
        <v>24000</v>
      </c>
      <c r="J534" s="37">
        <f t="shared" si="97"/>
        <v>0.30000000000000004</v>
      </c>
      <c r="K534" s="37">
        <f t="shared" si="98"/>
        <v>0.44999999999999996</v>
      </c>
      <c r="M534" s="37">
        <f t="shared" si="100"/>
        <v>0.1875</v>
      </c>
      <c r="O534" s="4">
        <f t="shared" si="101"/>
        <v>90000</v>
      </c>
      <c r="Q534" s="4">
        <f t="shared" si="102"/>
        <v>7500</v>
      </c>
      <c r="S534" s="4">
        <f t="shared" si="103"/>
        <v>300</v>
      </c>
      <c r="U534" s="4">
        <f t="shared" si="106"/>
        <v>1080</v>
      </c>
      <c r="W534" s="4">
        <f t="shared" si="104"/>
        <v>90</v>
      </c>
      <c r="Y534" s="4">
        <f t="shared" si="105"/>
        <v>93.75</v>
      </c>
    </row>
    <row r="535" spans="1:25" ht="14.5" hidden="1" customHeight="1" outlineLevel="1" x14ac:dyDescent="0.35">
      <c r="A535" s="39" t="s">
        <v>1557</v>
      </c>
      <c r="B535" s="39" t="s">
        <v>109</v>
      </c>
      <c r="C535" s="39" t="s">
        <v>109</v>
      </c>
      <c r="D535" s="39" t="s">
        <v>1540</v>
      </c>
      <c r="E535" s="40" t="s">
        <v>66</v>
      </c>
      <c r="F535" s="39" t="s">
        <v>41</v>
      </c>
      <c r="G535" s="39" t="s">
        <v>1558</v>
      </c>
      <c r="H535" s="41">
        <v>6</v>
      </c>
      <c r="I535" s="36">
        <f t="shared" si="99"/>
        <v>24000</v>
      </c>
      <c r="J535" s="37">
        <f t="shared" si="97"/>
        <v>0.30000000000000004</v>
      </c>
      <c r="K535" s="37">
        <f t="shared" si="98"/>
        <v>0.44999999999999996</v>
      </c>
      <c r="M535" s="37">
        <f t="shared" si="100"/>
        <v>0.1875</v>
      </c>
      <c r="O535" s="4">
        <f t="shared" si="101"/>
        <v>90000</v>
      </c>
      <c r="Q535" s="4">
        <f t="shared" si="102"/>
        <v>7500</v>
      </c>
      <c r="S535" s="4">
        <f t="shared" si="103"/>
        <v>300</v>
      </c>
      <c r="U535" s="4">
        <f t="shared" si="106"/>
        <v>1080</v>
      </c>
      <c r="W535" s="4">
        <f t="shared" si="104"/>
        <v>90</v>
      </c>
      <c r="Y535" s="4">
        <f t="shared" si="105"/>
        <v>93.75</v>
      </c>
    </row>
    <row r="536" spans="1:25" ht="14.5" hidden="1" customHeight="1" outlineLevel="1" x14ac:dyDescent="0.35">
      <c r="A536" s="39" t="s">
        <v>1559</v>
      </c>
      <c r="B536" s="39" t="s">
        <v>109</v>
      </c>
      <c r="C536" s="39" t="s">
        <v>109</v>
      </c>
      <c r="D536" s="39" t="s">
        <v>463</v>
      </c>
      <c r="E536" s="40" t="s">
        <v>161</v>
      </c>
      <c r="F536" s="39" t="s">
        <v>101</v>
      </c>
      <c r="G536" s="39" t="s">
        <v>1560</v>
      </c>
      <c r="H536" s="41">
        <v>5</v>
      </c>
      <c r="I536" s="36">
        <f t="shared" si="99"/>
        <v>20000</v>
      </c>
      <c r="J536" s="37">
        <f t="shared" si="97"/>
        <v>0.25</v>
      </c>
      <c r="K536" s="37">
        <f t="shared" si="98"/>
        <v>0.375</v>
      </c>
      <c r="M536" s="37">
        <f t="shared" si="100"/>
        <v>0.15625</v>
      </c>
      <c r="O536" s="4">
        <f t="shared" si="101"/>
        <v>75000</v>
      </c>
      <c r="Q536" s="4">
        <f t="shared" si="102"/>
        <v>6250</v>
      </c>
      <c r="S536" s="4">
        <f t="shared" si="103"/>
        <v>250</v>
      </c>
      <c r="U536" s="4">
        <f t="shared" si="106"/>
        <v>900</v>
      </c>
      <c r="W536" s="4">
        <f t="shared" si="104"/>
        <v>75</v>
      </c>
      <c r="Y536" s="4">
        <f t="shared" si="105"/>
        <v>78.125</v>
      </c>
    </row>
    <row r="537" spans="1:25" ht="14.5" hidden="1" customHeight="1" outlineLevel="1" x14ac:dyDescent="0.35">
      <c r="A537" s="39" t="s">
        <v>1561</v>
      </c>
      <c r="B537" s="39" t="s">
        <v>109</v>
      </c>
      <c r="C537" s="39" t="s">
        <v>109</v>
      </c>
      <c r="D537" s="39" t="s">
        <v>1562</v>
      </c>
      <c r="E537" s="40" t="s">
        <v>186</v>
      </c>
      <c r="F537" s="39" t="s">
        <v>41</v>
      </c>
      <c r="G537" s="39" t="s">
        <v>110</v>
      </c>
      <c r="H537" s="41">
        <v>5</v>
      </c>
      <c r="I537" s="36">
        <f t="shared" si="99"/>
        <v>20000</v>
      </c>
      <c r="J537" s="37">
        <f t="shared" si="97"/>
        <v>0.25</v>
      </c>
      <c r="K537" s="37">
        <f t="shared" si="98"/>
        <v>0.375</v>
      </c>
      <c r="M537" s="37">
        <f t="shared" si="100"/>
        <v>0.15625</v>
      </c>
      <c r="O537" s="4">
        <f t="shared" si="101"/>
        <v>75000</v>
      </c>
      <c r="Q537" s="4">
        <f t="shared" si="102"/>
        <v>6250</v>
      </c>
      <c r="S537" s="4">
        <f t="shared" si="103"/>
        <v>250</v>
      </c>
      <c r="U537" s="4">
        <f t="shared" si="106"/>
        <v>900</v>
      </c>
      <c r="W537" s="4">
        <f t="shared" si="104"/>
        <v>75</v>
      </c>
      <c r="Y537" s="4">
        <f t="shared" si="105"/>
        <v>78.125</v>
      </c>
    </row>
    <row r="538" spans="1:25" ht="14.5" hidden="1" customHeight="1" outlineLevel="1" x14ac:dyDescent="0.35">
      <c r="A538" s="39" t="s">
        <v>1563</v>
      </c>
      <c r="B538" s="39" t="s">
        <v>109</v>
      </c>
      <c r="C538" s="39" t="s">
        <v>1564</v>
      </c>
      <c r="D538" s="39" t="s">
        <v>1565</v>
      </c>
      <c r="E538" s="40" t="s">
        <v>302</v>
      </c>
      <c r="F538" s="39" t="s">
        <v>41</v>
      </c>
      <c r="G538" s="39" t="s">
        <v>110</v>
      </c>
      <c r="H538" s="41">
        <v>5</v>
      </c>
      <c r="I538" s="36">
        <f t="shared" si="99"/>
        <v>20000</v>
      </c>
      <c r="J538" s="37">
        <f t="shared" si="97"/>
        <v>0.25</v>
      </c>
      <c r="K538" s="37">
        <f t="shared" si="98"/>
        <v>0.375</v>
      </c>
      <c r="M538" s="37">
        <f t="shared" si="100"/>
        <v>0.15625</v>
      </c>
      <c r="O538" s="4">
        <f t="shared" si="101"/>
        <v>75000</v>
      </c>
      <c r="Q538" s="4">
        <f t="shared" si="102"/>
        <v>6250</v>
      </c>
      <c r="S538" s="4">
        <f t="shared" si="103"/>
        <v>250</v>
      </c>
      <c r="U538" s="4">
        <f t="shared" si="106"/>
        <v>900</v>
      </c>
      <c r="W538" s="4">
        <f t="shared" si="104"/>
        <v>75</v>
      </c>
      <c r="Y538" s="4">
        <f t="shared" si="105"/>
        <v>78.125</v>
      </c>
    </row>
    <row r="539" spans="1:25" ht="14.5" hidden="1" customHeight="1" outlineLevel="1" x14ac:dyDescent="0.35">
      <c r="A539" s="39" t="s">
        <v>1566</v>
      </c>
      <c r="B539" s="39" t="s">
        <v>109</v>
      </c>
      <c r="C539" s="39" t="s">
        <v>1567</v>
      </c>
      <c r="D539" s="39" t="s">
        <v>1568</v>
      </c>
      <c r="E539" s="40" t="s">
        <v>91</v>
      </c>
      <c r="F539" s="39" t="s">
        <v>41</v>
      </c>
      <c r="G539" s="39" t="s">
        <v>1569</v>
      </c>
      <c r="H539" s="41">
        <v>5</v>
      </c>
      <c r="I539" s="36">
        <f t="shared" si="99"/>
        <v>20000</v>
      </c>
      <c r="J539" s="37">
        <f t="shared" si="97"/>
        <v>0.25</v>
      </c>
      <c r="K539" s="37">
        <f t="shared" si="98"/>
        <v>0.375</v>
      </c>
      <c r="M539" s="37">
        <f t="shared" si="100"/>
        <v>0.15625</v>
      </c>
      <c r="O539" s="4">
        <f t="shared" si="101"/>
        <v>75000</v>
      </c>
      <c r="Q539" s="4">
        <f t="shared" si="102"/>
        <v>6250</v>
      </c>
      <c r="S539" s="4">
        <f t="shared" si="103"/>
        <v>250</v>
      </c>
      <c r="U539" s="4">
        <f t="shared" si="106"/>
        <v>900</v>
      </c>
      <c r="W539" s="4">
        <f t="shared" si="104"/>
        <v>75</v>
      </c>
      <c r="Y539" s="4">
        <f t="shared" si="105"/>
        <v>78.125</v>
      </c>
    </row>
    <row r="540" spans="1:25" ht="14.5" hidden="1" customHeight="1" outlineLevel="1" x14ac:dyDescent="0.35">
      <c r="A540" s="39" t="s">
        <v>1570</v>
      </c>
      <c r="B540" s="39" t="s">
        <v>109</v>
      </c>
      <c r="C540" s="39" t="s">
        <v>109</v>
      </c>
      <c r="D540" s="39" t="s">
        <v>1571</v>
      </c>
      <c r="E540" s="40" t="s">
        <v>100</v>
      </c>
      <c r="F540" s="39" t="s">
        <v>101</v>
      </c>
      <c r="G540" s="39" t="s">
        <v>1572</v>
      </c>
      <c r="H540" s="41">
        <v>4</v>
      </c>
      <c r="I540" s="36">
        <f t="shared" si="99"/>
        <v>16000</v>
      </c>
      <c r="J540" s="37">
        <f t="shared" si="97"/>
        <v>0.2</v>
      </c>
      <c r="K540" s="37">
        <f t="shared" si="98"/>
        <v>0.3</v>
      </c>
      <c r="M540" s="37">
        <f t="shared" si="100"/>
        <v>0.125</v>
      </c>
      <c r="O540" s="4">
        <f t="shared" si="101"/>
        <v>60000</v>
      </c>
      <c r="Q540" s="4">
        <f t="shared" si="102"/>
        <v>5000</v>
      </c>
      <c r="S540" s="4">
        <f t="shared" si="103"/>
        <v>200</v>
      </c>
      <c r="U540" s="4">
        <f t="shared" si="106"/>
        <v>720</v>
      </c>
      <c r="W540" s="4">
        <f t="shared" si="104"/>
        <v>60</v>
      </c>
      <c r="Y540" s="4">
        <f t="shared" si="105"/>
        <v>62.5</v>
      </c>
    </row>
    <row r="541" spans="1:25" ht="14.5" hidden="1" customHeight="1" outlineLevel="1" x14ac:dyDescent="0.35">
      <c r="A541" s="39" t="s">
        <v>1573</v>
      </c>
      <c r="B541" s="39" t="s">
        <v>109</v>
      </c>
      <c r="C541" s="39" t="s">
        <v>1574</v>
      </c>
      <c r="D541" s="39" t="s">
        <v>1575</v>
      </c>
      <c r="E541" s="40" t="s">
        <v>251</v>
      </c>
      <c r="F541" s="39" t="s">
        <v>41</v>
      </c>
      <c r="G541" s="39" t="s">
        <v>1576</v>
      </c>
      <c r="H541" s="41">
        <v>4</v>
      </c>
      <c r="I541" s="36">
        <f t="shared" si="99"/>
        <v>16000</v>
      </c>
      <c r="J541" s="37">
        <f t="shared" si="97"/>
        <v>0.2</v>
      </c>
      <c r="K541" s="37">
        <f t="shared" si="98"/>
        <v>0.3</v>
      </c>
      <c r="M541" s="37">
        <f t="shared" si="100"/>
        <v>0.125</v>
      </c>
      <c r="O541" s="4">
        <f t="shared" si="101"/>
        <v>60000</v>
      </c>
      <c r="Q541" s="4">
        <f t="shared" si="102"/>
        <v>5000</v>
      </c>
      <c r="S541" s="4">
        <f t="shared" si="103"/>
        <v>200</v>
      </c>
      <c r="U541" s="4">
        <f t="shared" si="106"/>
        <v>720</v>
      </c>
      <c r="W541" s="4">
        <f t="shared" si="104"/>
        <v>60</v>
      </c>
      <c r="Y541" s="4">
        <f t="shared" si="105"/>
        <v>62.5</v>
      </c>
    </row>
    <row r="542" spans="1:25" ht="14.5" hidden="1" customHeight="1" outlineLevel="1" x14ac:dyDescent="0.35">
      <c r="A542" s="39" t="s">
        <v>1577</v>
      </c>
      <c r="B542" s="39" t="s">
        <v>109</v>
      </c>
      <c r="C542" s="39" t="s">
        <v>1578</v>
      </c>
      <c r="D542" s="39" t="s">
        <v>1579</v>
      </c>
      <c r="E542" s="40" t="s">
        <v>91</v>
      </c>
      <c r="F542" s="39" t="s">
        <v>41</v>
      </c>
      <c r="G542" s="39" t="s">
        <v>110</v>
      </c>
      <c r="H542" s="41">
        <v>4</v>
      </c>
      <c r="I542" s="36">
        <f t="shared" si="99"/>
        <v>16000</v>
      </c>
      <c r="J542" s="37">
        <f t="shared" si="97"/>
        <v>0.2</v>
      </c>
      <c r="K542" s="37">
        <f t="shared" si="98"/>
        <v>0.3</v>
      </c>
      <c r="M542" s="37">
        <f t="shared" si="100"/>
        <v>0.125</v>
      </c>
      <c r="O542" s="4">
        <f t="shared" si="101"/>
        <v>60000</v>
      </c>
      <c r="Q542" s="4">
        <f t="shared" si="102"/>
        <v>5000</v>
      </c>
      <c r="S542" s="4">
        <f t="shared" si="103"/>
        <v>200</v>
      </c>
      <c r="U542" s="4">
        <f t="shared" si="106"/>
        <v>720</v>
      </c>
      <c r="W542" s="4">
        <f t="shared" si="104"/>
        <v>60</v>
      </c>
      <c r="Y542" s="4">
        <f t="shared" si="105"/>
        <v>62.5</v>
      </c>
    </row>
    <row r="543" spans="1:25" ht="14.5" hidden="1" customHeight="1" outlineLevel="1" x14ac:dyDescent="0.35">
      <c r="A543" s="39" t="s">
        <v>1580</v>
      </c>
      <c r="B543" s="39" t="s">
        <v>109</v>
      </c>
      <c r="C543" s="39" t="s">
        <v>109</v>
      </c>
      <c r="D543" s="39" t="s">
        <v>1581</v>
      </c>
      <c r="E543" s="40" t="s">
        <v>302</v>
      </c>
      <c r="F543" s="39" t="s">
        <v>41</v>
      </c>
      <c r="G543" s="39" t="s">
        <v>62</v>
      </c>
      <c r="H543" s="41">
        <v>4</v>
      </c>
      <c r="I543" s="36">
        <f t="shared" si="99"/>
        <v>16000</v>
      </c>
      <c r="J543" s="37">
        <f t="shared" si="97"/>
        <v>0.2</v>
      </c>
      <c r="K543" s="37">
        <f t="shared" si="98"/>
        <v>0.3</v>
      </c>
      <c r="M543" s="37">
        <f t="shared" si="100"/>
        <v>0.125</v>
      </c>
      <c r="O543" s="4">
        <f t="shared" si="101"/>
        <v>60000</v>
      </c>
      <c r="Q543" s="4">
        <f t="shared" si="102"/>
        <v>5000</v>
      </c>
      <c r="S543" s="4">
        <f t="shared" si="103"/>
        <v>200</v>
      </c>
      <c r="U543" s="4">
        <f t="shared" si="106"/>
        <v>720</v>
      </c>
      <c r="W543" s="4">
        <f t="shared" si="104"/>
        <v>60</v>
      </c>
      <c r="Y543" s="4">
        <f t="shared" si="105"/>
        <v>62.5</v>
      </c>
    </row>
    <row r="544" spans="1:25" ht="14.5" hidden="1" customHeight="1" outlineLevel="1" x14ac:dyDescent="0.35">
      <c r="A544" s="39" t="s">
        <v>1582</v>
      </c>
      <c r="B544" s="39" t="s">
        <v>109</v>
      </c>
      <c r="C544" s="39" t="s">
        <v>109</v>
      </c>
      <c r="D544" s="39" t="s">
        <v>1583</v>
      </c>
      <c r="E544" s="40" t="s">
        <v>302</v>
      </c>
      <c r="F544" s="39" t="s">
        <v>41</v>
      </c>
      <c r="G544" s="39" t="s">
        <v>110</v>
      </c>
      <c r="H544" s="41">
        <v>4</v>
      </c>
      <c r="I544" s="36">
        <f t="shared" si="99"/>
        <v>16000</v>
      </c>
      <c r="J544" s="37">
        <f t="shared" si="97"/>
        <v>0.2</v>
      </c>
      <c r="K544" s="37">
        <f t="shared" si="98"/>
        <v>0.3</v>
      </c>
      <c r="M544" s="37">
        <f t="shared" si="100"/>
        <v>0.125</v>
      </c>
      <c r="O544" s="4">
        <f t="shared" si="101"/>
        <v>60000</v>
      </c>
      <c r="Q544" s="4">
        <f t="shared" si="102"/>
        <v>5000</v>
      </c>
      <c r="S544" s="4">
        <f t="shared" si="103"/>
        <v>200</v>
      </c>
      <c r="U544" s="4">
        <f t="shared" si="106"/>
        <v>720</v>
      </c>
      <c r="W544" s="4">
        <f t="shared" si="104"/>
        <v>60</v>
      </c>
      <c r="Y544" s="4">
        <f t="shared" si="105"/>
        <v>62.5</v>
      </c>
    </row>
    <row r="545" spans="1:25" ht="14.5" hidden="1" customHeight="1" outlineLevel="1" x14ac:dyDescent="0.35">
      <c r="A545" s="39" t="s">
        <v>1584</v>
      </c>
      <c r="B545" s="39" t="s">
        <v>109</v>
      </c>
      <c r="C545" s="39" t="s">
        <v>109</v>
      </c>
      <c r="D545" s="39" t="s">
        <v>1117</v>
      </c>
      <c r="E545" s="40" t="s">
        <v>721</v>
      </c>
      <c r="F545" s="39" t="s">
        <v>41</v>
      </c>
      <c r="G545" s="39" t="s">
        <v>110</v>
      </c>
      <c r="H545" s="41">
        <v>4</v>
      </c>
      <c r="I545" s="36">
        <f t="shared" si="99"/>
        <v>16000</v>
      </c>
      <c r="J545" s="37">
        <f t="shared" si="97"/>
        <v>0.2</v>
      </c>
      <c r="K545" s="37">
        <f t="shared" si="98"/>
        <v>0.3</v>
      </c>
      <c r="M545" s="37">
        <f t="shared" si="100"/>
        <v>0.125</v>
      </c>
      <c r="O545" s="4">
        <f t="shared" si="101"/>
        <v>60000</v>
      </c>
      <c r="Q545" s="4">
        <f t="shared" si="102"/>
        <v>5000</v>
      </c>
      <c r="S545" s="4">
        <f t="shared" si="103"/>
        <v>200</v>
      </c>
      <c r="U545" s="4">
        <f t="shared" si="106"/>
        <v>720</v>
      </c>
      <c r="W545" s="4">
        <f t="shared" si="104"/>
        <v>60</v>
      </c>
      <c r="Y545" s="4">
        <f t="shared" si="105"/>
        <v>62.5</v>
      </c>
    </row>
    <row r="546" spans="1:25" ht="14.5" hidden="1" customHeight="1" outlineLevel="1" x14ac:dyDescent="0.35">
      <c r="A546" s="39" t="s">
        <v>1585</v>
      </c>
      <c r="B546" s="39" t="s">
        <v>109</v>
      </c>
      <c r="C546" s="39" t="s">
        <v>109</v>
      </c>
      <c r="D546" s="39" t="s">
        <v>1586</v>
      </c>
      <c r="E546" s="40" t="s">
        <v>200</v>
      </c>
      <c r="F546" s="39" t="s">
        <v>41</v>
      </c>
      <c r="G546" s="39" t="s">
        <v>110</v>
      </c>
      <c r="H546" s="41">
        <v>3</v>
      </c>
      <c r="I546" s="36">
        <f t="shared" si="99"/>
        <v>12000</v>
      </c>
      <c r="J546" s="37">
        <f t="shared" si="97"/>
        <v>0.15000000000000002</v>
      </c>
      <c r="K546" s="37">
        <f t="shared" si="98"/>
        <v>0.22499999999999998</v>
      </c>
      <c r="M546" s="37">
        <f t="shared" si="100"/>
        <v>9.375E-2</v>
      </c>
      <c r="O546" s="4">
        <f t="shared" si="101"/>
        <v>45000</v>
      </c>
      <c r="Q546" s="4">
        <f t="shared" si="102"/>
        <v>3750</v>
      </c>
      <c r="S546" s="4">
        <f t="shared" si="103"/>
        <v>150</v>
      </c>
      <c r="U546" s="4">
        <f t="shared" si="106"/>
        <v>540</v>
      </c>
      <c r="W546" s="4">
        <f t="shared" si="104"/>
        <v>45</v>
      </c>
      <c r="Y546" s="4">
        <f t="shared" si="105"/>
        <v>46.875</v>
      </c>
    </row>
    <row r="547" spans="1:25" ht="14.5" hidden="1" customHeight="1" outlineLevel="1" x14ac:dyDescent="0.35">
      <c r="A547" s="39" t="s">
        <v>1587</v>
      </c>
      <c r="B547" s="39" t="s">
        <v>109</v>
      </c>
      <c r="C547" s="39" t="s">
        <v>109</v>
      </c>
      <c r="D547" s="39" t="s">
        <v>1588</v>
      </c>
      <c r="E547" s="40" t="s">
        <v>1018</v>
      </c>
      <c r="F547" s="39" t="s">
        <v>41</v>
      </c>
      <c r="G547" s="39" t="s">
        <v>1589</v>
      </c>
      <c r="H547" s="41">
        <v>3</v>
      </c>
      <c r="I547" s="36">
        <f t="shared" si="99"/>
        <v>12000</v>
      </c>
      <c r="J547" s="37">
        <f t="shared" si="97"/>
        <v>0.15000000000000002</v>
      </c>
      <c r="K547" s="37">
        <f t="shared" si="98"/>
        <v>0.22499999999999998</v>
      </c>
      <c r="M547" s="37">
        <f t="shared" si="100"/>
        <v>9.375E-2</v>
      </c>
      <c r="O547" s="4">
        <f t="shared" si="101"/>
        <v>45000</v>
      </c>
      <c r="Q547" s="4">
        <f t="shared" si="102"/>
        <v>3750</v>
      </c>
      <c r="S547" s="4">
        <f t="shared" si="103"/>
        <v>150</v>
      </c>
      <c r="U547" s="4">
        <f t="shared" si="106"/>
        <v>540</v>
      </c>
      <c r="W547" s="4">
        <f t="shared" si="104"/>
        <v>45</v>
      </c>
      <c r="Y547" s="4">
        <f t="shared" si="105"/>
        <v>46.875</v>
      </c>
    </row>
    <row r="548" spans="1:25" ht="14.5" hidden="1" customHeight="1" outlineLevel="1" x14ac:dyDescent="0.35">
      <c r="A548" s="39" t="s">
        <v>1590</v>
      </c>
      <c r="B548" s="39" t="s">
        <v>109</v>
      </c>
      <c r="C548" s="39" t="s">
        <v>109</v>
      </c>
      <c r="D548" s="39" t="s">
        <v>1591</v>
      </c>
      <c r="E548" s="40" t="s">
        <v>114</v>
      </c>
      <c r="F548" s="39" t="s">
        <v>41</v>
      </c>
      <c r="G548" s="39" t="s">
        <v>1592</v>
      </c>
      <c r="H548" s="41">
        <v>3</v>
      </c>
      <c r="I548" s="36">
        <f t="shared" si="99"/>
        <v>12000</v>
      </c>
      <c r="J548" s="37">
        <f t="shared" si="97"/>
        <v>0.15000000000000002</v>
      </c>
      <c r="K548" s="37">
        <f t="shared" si="98"/>
        <v>0.22499999999999998</v>
      </c>
      <c r="M548" s="37">
        <f t="shared" si="100"/>
        <v>9.375E-2</v>
      </c>
      <c r="O548" s="4">
        <f t="shared" si="101"/>
        <v>45000</v>
      </c>
      <c r="Q548" s="4">
        <f t="shared" si="102"/>
        <v>3750</v>
      </c>
      <c r="S548" s="4">
        <f t="shared" si="103"/>
        <v>150</v>
      </c>
      <c r="U548" s="4">
        <f t="shared" si="106"/>
        <v>540</v>
      </c>
      <c r="W548" s="4">
        <f t="shared" si="104"/>
        <v>45</v>
      </c>
      <c r="Y548" s="4">
        <f t="shared" si="105"/>
        <v>46.875</v>
      </c>
    </row>
    <row r="549" spans="1:25" ht="14.5" hidden="1" customHeight="1" outlineLevel="1" x14ac:dyDescent="0.35">
      <c r="A549" s="39" t="s">
        <v>1593</v>
      </c>
      <c r="B549" s="39" t="s">
        <v>109</v>
      </c>
      <c r="C549" s="39" t="s">
        <v>109</v>
      </c>
      <c r="D549" s="39" t="s">
        <v>1591</v>
      </c>
      <c r="E549" s="40" t="s">
        <v>114</v>
      </c>
      <c r="F549" s="39" t="s">
        <v>41</v>
      </c>
      <c r="G549" s="39" t="s">
        <v>1594</v>
      </c>
      <c r="H549" s="41">
        <v>3</v>
      </c>
      <c r="I549" s="36">
        <f t="shared" si="99"/>
        <v>12000</v>
      </c>
      <c r="J549" s="37">
        <f t="shared" si="97"/>
        <v>0.15000000000000002</v>
      </c>
      <c r="K549" s="37">
        <f t="shared" si="98"/>
        <v>0.22499999999999998</v>
      </c>
      <c r="M549" s="37">
        <f t="shared" si="100"/>
        <v>9.375E-2</v>
      </c>
      <c r="O549" s="4">
        <f t="shared" si="101"/>
        <v>45000</v>
      </c>
      <c r="Q549" s="4">
        <f t="shared" si="102"/>
        <v>3750</v>
      </c>
      <c r="S549" s="4">
        <f t="shared" si="103"/>
        <v>150</v>
      </c>
      <c r="U549" s="4">
        <f t="shared" si="106"/>
        <v>540</v>
      </c>
      <c r="W549" s="4">
        <f t="shared" si="104"/>
        <v>45</v>
      </c>
      <c r="Y549" s="4">
        <f t="shared" si="105"/>
        <v>46.875</v>
      </c>
    </row>
    <row r="550" spans="1:25" ht="14.5" hidden="1" customHeight="1" outlineLevel="1" x14ac:dyDescent="0.35">
      <c r="A550" s="39" t="s">
        <v>1595</v>
      </c>
      <c r="B550" s="39" t="s">
        <v>109</v>
      </c>
      <c r="C550" s="39" t="s">
        <v>109</v>
      </c>
      <c r="D550" s="39" t="s">
        <v>1360</v>
      </c>
      <c r="E550" s="40" t="s">
        <v>61</v>
      </c>
      <c r="F550" s="39" t="s">
        <v>41</v>
      </c>
      <c r="G550" s="39" t="s">
        <v>1596</v>
      </c>
      <c r="H550" s="41">
        <v>3</v>
      </c>
      <c r="I550" s="36">
        <f t="shared" si="99"/>
        <v>12000</v>
      </c>
      <c r="J550" s="37">
        <f t="shared" si="97"/>
        <v>0.15000000000000002</v>
      </c>
      <c r="K550" s="37">
        <f t="shared" si="98"/>
        <v>0.22499999999999998</v>
      </c>
      <c r="M550" s="37">
        <f t="shared" si="100"/>
        <v>9.375E-2</v>
      </c>
      <c r="O550" s="4">
        <f t="shared" si="101"/>
        <v>45000</v>
      </c>
      <c r="Q550" s="4">
        <f t="shared" si="102"/>
        <v>3750</v>
      </c>
      <c r="S550" s="4">
        <f t="shared" si="103"/>
        <v>150</v>
      </c>
      <c r="U550" s="4">
        <f t="shared" si="106"/>
        <v>540</v>
      </c>
      <c r="W550" s="4">
        <f t="shared" si="104"/>
        <v>45</v>
      </c>
      <c r="Y550" s="4">
        <f t="shared" si="105"/>
        <v>46.875</v>
      </c>
    </row>
    <row r="551" spans="1:25" ht="14.5" hidden="1" customHeight="1" outlineLevel="1" x14ac:dyDescent="0.35">
      <c r="A551" s="39" t="s">
        <v>1597</v>
      </c>
      <c r="B551" s="39" t="s">
        <v>109</v>
      </c>
      <c r="C551" s="39" t="s">
        <v>1598</v>
      </c>
      <c r="D551" s="39" t="s">
        <v>1599</v>
      </c>
      <c r="E551" s="40" t="s">
        <v>302</v>
      </c>
      <c r="F551" s="39" t="s">
        <v>41</v>
      </c>
      <c r="G551" s="39" t="s">
        <v>110</v>
      </c>
      <c r="H551" s="41">
        <v>3</v>
      </c>
      <c r="I551" s="36">
        <f t="shared" si="99"/>
        <v>12000</v>
      </c>
      <c r="J551" s="37">
        <f t="shared" si="97"/>
        <v>0.15000000000000002</v>
      </c>
      <c r="K551" s="37">
        <f t="shared" si="98"/>
        <v>0.22499999999999998</v>
      </c>
      <c r="M551" s="37">
        <f t="shared" si="100"/>
        <v>9.375E-2</v>
      </c>
      <c r="O551" s="4">
        <f t="shared" si="101"/>
        <v>45000</v>
      </c>
      <c r="Q551" s="4">
        <f t="shared" si="102"/>
        <v>3750</v>
      </c>
      <c r="S551" s="4">
        <f t="shared" si="103"/>
        <v>150</v>
      </c>
      <c r="U551" s="4">
        <f t="shared" si="106"/>
        <v>540</v>
      </c>
      <c r="W551" s="4">
        <f t="shared" si="104"/>
        <v>45</v>
      </c>
      <c r="Y551" s="4">
        <f t="shared" si="105"/>
        <v>46.875</v>
      </c>
    </row>
    <row r="552" spans="1:25" ht="14.5" hidden="1" customHeight="1" outlineLevel="1" x14ac:dyDescent="0.35">
      <c r="A552" s="39" t="s">
        <v>1600</v>
      </c>
      <c r="B552" s="39" t="s">
        <v>109</v>
      </c>
      <c r="C552" s="39" t="s">
        <v>109</v>
      </c>
      <c r="D552" s="39" t="s">
        <v>1601</v>
      </c>
      <c r="E552" s="40" t="s">
        <v>186</v>
      </c>
      <c r="F552" s="39" t="s">
        <v>41</v>
      </c>
      <c r="G552" s="39" t="s">
        <v>1602</v>
      </c>
      <c r="H552" s="41">
        <v>3</v>
      </c>
      <c r="I552" s="36">
        <f t="shared" si="99"/>
        <v>12000</v>
      </c>
      <c r="J552" s="37">
        <f t="shared" si="97"/>
        <v>0.15000000000000002</v>
      </c>
      <c r="K552" s="37">
        <f t="shared" si="98"/>
        <v>0.22499999999999998</v>
      </c>
      <c r="M552" s="37">
        <f t="shared" si="100"/>
        <v>9.375E-2</v>
      </c>
      <c r="O552" s="4">
        <f t="shared" si="101"/>
        <v>45000</v>
      </c>
      <c r="Q552" s="4">
        <f t="shared" si="102"/>
        <v>3750</v>
      </c>
      <c r="S552" s="4">
        <f t="shared" si="103"/>
        <v>150</v>
      </c>
      <c r="U552" s="4">
        <f t="shared" si="106"/>
        <v>540</v>
      </c>
      <c r="W552" s="4">
        <f t="shared" si="104"/>
        <v>45</v>
      </c>
      <c r="Y552" s="4">
        <f t="shared" si="105"/>
        <v>46.875</v>
      </c>
    </row>
    <row r="553" spans="1:25" ht="14.5" hidden="1" customHeight="1" outlineLevel="1" x14ac:dyDescent="0.35">
      <c r="A553" s="39" t="s">
        <v>1603</v>
      </c>
      <c r="B553" s="39" t="s">
        <v>109</v>
      </c>
      <c r="C553" s="39" t="s">
        <v>109</v>
      </c>
      <c r="D553" s="39" t="s">
        <v>1604</v>
      </c>
      <c r="E553" s="40" t="s">
        <v>146</v>
      </c>
      <c r="F553" s="39" t="s">
        <v>41</v>
      </c>
      <c r="G553" s="39" t="s">
        <v>1605</v>
      </c>
      <c r="H553" s="41">
        <v>3</v>
      </c>
      <c r="I553" s="36">
        <f t="shared" si="99"/>
        <v>12000</v>
      </c>
      <c r="J553" s="37">
        <f t="shared" si="97"/>
        <v>0.15000000000000002</v>
      </c>
      <c r="K553" s="37">
        <f t="shared" si="98"/>
        <v>0.22499999999999998</v>
      </c>
      <c r="M553" s="37">
        <f t="shared" si="100"/>
        <v>9.375E-2</v>
      </c>
      <c r="O553" s="4">
        <f t="shared" si="101"/>
        <v>45000</v>
      </c>
      <c r="Q553" s="4">
        <f t="shared" si="102"/>
        <v>3750</v>
      </c>
      <c r="S553" s="4">
        <f t="shared" si="103"/>
        <v>150</v>
      </c>
      <c r="U553" s="4">
        <f t="shared" si="106"/>
        <v>540</v>
      </c>
      <c r="W553" s="4">
        <f t="shared" si="104"/>
        <v>45</v>
      </c>
      <c r="Y553" s="4">
        <f t="shared" si="105"/>
        <v>46.875</v>
      </c>
    </row>
    <row r="554" spans="1:25" ht="14.5" hidden="1" customHeight="1" outlineLevel="1" x14ac:dyDescent="0.35">
      <c r="A554" s="39" t="s">
        <v>1606</v>
      </c>
      <c r="B554" s="39" t="s">
        <v>109</v>
      </c>
      <c r="C554" s="39" t="s">
        <v>109</v>
      </c>
      <c r="D554" s="39" t="s">
        <v>1607</v>
      </c>
      <c r="E554" s="40" t="s">
        <v>211</v>
      </c>
      <c r="F554" s="39" t="s">
        <v>41</v>
      </c>
      <c r="G554" s="39" t="s">
        <v>1608</v>
      </c>
      <c r="H554" s="41">
        <v>3</v>
      </c>
      <c r="I554" s="36">
        <f t="shared" si="99"/>
        <v>12000</v>
      </c>
      <c r="J554" s="37">
        <f t="shared" si="97"/>
        <v>0.15000000000000002</v>
      </c>
      <c r="K554" s="37">
        <f t="shared" si="98"/>
        <v>0.22499999999999998</v>
      </c>
      <c r="M554" s="37">
        <f t="shared" si="100"/>
        <v>9.375E-2</v>
      </c>
      <c r="O554" s="4">
        <f t="shared" si="101"/>
        <v>45000</v>
      </c>
      <c r="Q554" s="4">
        <f t="shared" si="102"/>
        <v>3750</v>
      </c>
      <c r="S554" s="4">
        <f t="shared" si="103"/>
        <v>150</v>
      </c>
      <c r="U554" s="4">
        <f t="shared" si="106"/>
        <v>540</v>
      </c>
      <c r="W554" s="4">
        <f t="shared" si="104"/>
        <v>45</v>
      </c>
      <c r="Y554" s="4">
        <f t="shared" si="105"/>
        <v>46.875</v>
      </c>
    </row>
    <row r="555" spans="1:25" ht="14.5" hidden="1" customHeight="1" outlineLevel="1" x14ac:dyDescent="0.35">
      <c r="A555" s="39" t="s">
        <v>1609</v>
      </c>
      <c r="B555" s="39" t="s">
        <v>109</v>
      </c>
      <c r="C555" s="39" t="s">
        <v>109</v>
      </c>
      <c r="D555" s="39" t="s">
        <v>1479</v>
      </c>
      <c r="E555" s="40" t="s">
        <v>165</v>
      </c>
      <c r="F555" s="39" t="s">
        <v>41</v>
      </c>
      <c r="G555" s="39" t="s">
        <v>110</v>
      </c>
      <c r="H555" s="41">
        <v>3</v>
      </c>
      <c r="I555" s="36">
        <f t="shared" si="99"/>
        <v>12000</v>
      </c>
      <c r="J555" s="37">
        <f t="shared" si="97"/>
        <v>0.15000000000000002</v>
      </c>
      <c r="K555" s="37">
        <f t="shared" si="98"/>
        <v>0.22499999999999998</v>
      </c>
      <c r="M555" s="37">
        <f t="shared" si="100"/>
        <v>9.375E-2</v>
      </c>
      <c r="O555" s="4">
        <f t="shared" si="101"/>
        <v>45000</v>
      </c>
      <c r="Q555" s="4">
        <f t="shared" si="102"/>
        <v>3750</v>
      </c>
      <c r="S555" s="4">
        <f t="shared" si="103"/>
        <v>150</v>
      </c>
      <c r="U555" s="4">
        <f t="shared" si="106"/>
        <v>540</v>
      </c>
      <c r="W555" s="4">
        <f t="shared" si="104"/>
        <v>45</v>
      </c>
      <c r="Y555" s="4">
        <f t="shared" si="105"/>
        <v>46.875</v>
      </c>
    </row>
    <row r="556" spans="1:25" ht="14.5" hidden="1" customHeight="1" outlineLevel="1" x14ac:dyDescent="0.35">
      <c r="A556" s="39" t="s">
        <v>1610</v>
      </c>
      <c r="B556" s="39" t="s">
        <v>109</v>
      </c>
      <c r="C556" s="39" t="s">
        <v>1611</v>
      </c>
      <c r="D556" s="39" t="s">
        <v>1612</v>
      </c>
      <c r="E556" s="40" t="s">
        <v>186</v>
      </c>
      <c r="F556" s="39" t="s">
        <v>41</v>
      </c>
      <c r="G556" s="39" t="s">
        <v>1613</v>
      </c>
      <c r="H556" s="41">
        <v>3</v>
      </c>
      <c r="I556" s="36">
        <f t="shared" si="99"/>
        <v>12000</v>
      </c>
      <c r="J556" s="37">
        <f t="shared" ref="J556:J619" si="107">H556*$F$7</f>
        <v>0.15000000000000002</v>
      </c>
      <c r="K556" s="37">
        <f t="shared" ref="K556:K619" si="108">H556*$G$7</f>
        <v>0.22499999999999998</v>
      </c>
      <c r="M556" s="37">
        <f t="shared" si="100"/>
        <v>9.375E-2</v>
      </c>
      <c r="O556" s="4">
        <f t="shared" si="101"/>
        <v>45000</v>
      </c>
      <c r="Q556" s="4">
        <f t="shared" si="102"/>
        <v>3750</v>
      </c>
      <c r="S556" s="4">
        <f t="shared" si="103"/>
        <v>150</v>
      </c>
      <c r="U556" s="4">
        <f t="shared" si="106"/>
        <v>540</v>
      </c>
      <c r="W556" s="4">
        <f t="shared" si="104"/>
        <v>45</v>
      </c>
      <c r="Y556" s="4">
        <f t="shared" si="105"/>
        <v>46.875</v>
      </c>
    </row>
    <row r="557" spans="1:25" ht="14.5" hidden="1" customHeight="1" outlineLevel="1" x14ac:dyDescent="0.35">
      <c r="A557" s="39" t="s">
        <v>1614</v>
      </c>
      <c r="B557" s="39" t="s">
        <v>109</v>
      </c>
      <c r="C557" s="39" t="s">
        <v>109</v>
      </c>
      <c r="D557" s="39" t="s">
        <v>699</v>
      </c>
      <c r="E557" s="40" t="s">
        <v>721</v>
      </c>
      <c r="F557" s="39" t="s">
        <v>41</v>
      </c>
      <c r="G557" s="39" t="s">
        <v>110</v>
      </c>
      <c r="H557" s="41">
        <v>2</v>
      </c>
      <c r="I557" s="36">
        <f t="shared" ref="I557:I620" si="109">$E$7*H557</f>
        <v>8000</v>
      </c>
      <c r="J557" s="37">
        <f t="shared" si="107"/>
        <v>0.1</v>
      </c>
      <c r="K557" s="37">
        <f t="shared" si="108"/>
        <v>0.15</v>
      </c>
      <c r="M557" s="37">
        <f t="shared" ref="M557:M620" si="110">0.5*(AVERAGE(J557:K557))</f>
        <v>6.25E-2</v>
      </c>
      <c r="O557" s="4">
        <f t="shared" ref="O557:O620" si="111">I557*$E$3</f>
        <v>30000</v>
      </c>
      <c r="Q557" s="4">
        <f t="shared" ref="Q557:Q620" si="112">I557*$E$3/12</f>
        <v>2500</v>
      </c>
      <c r="S557" s="4">
        <f t="shared" ref="S557:S620" si="113">Q557*$E$4</f>
        <v>100</v>
      </c>
      <c r="U557" s="4">
        <f t="shared" si="106"/>
        <v>360</v>
      </c>
      <c r="W557" s="4">
        <f t="shared" ref="W557:W620" si="114">S557*$E$5</f>
        <v>30</v>
      </c>
      <c r="Y557" s="4">
        <f t="shared" ref="Y557:Y620" si="115">M557*$E$6</f>
        <v>31.25</v>
      </c>
    </row>
    <row r="558" spans="1:25" ht="14.5" hidden="1" customHeight="1" outlineLevel="1" x14ac:dyDescent="0.35">
      <c r="A558" s="39" t="s">
        <v>1615</v>
      </c>
      <c r="B558" s="39" t="s">
        <v>109</v>
      </c>
      <c r="C558" s="39" t="s">
        <v>109</v>
      </c>
      <c r="D558" s="39" t="s">
        <v>1616</v>
      </c>
      <c r="E558" s="40" t="s">
        <v>91</v>
      </c>
      <c r="F558" s="39" t="s">
        <v>41</v>
      </c>
      <c r="G558" s="39" t="s">
        <v>1617</v>
      </c>
      <c r="H558" s="41">
        <v>2</v>
      </c>
      <c r="I558" s="36">
        <f t="shared" si="109"/>
        <v>8000</v>
      </c>
      <c r="J558" s="37">
        <f t="shared" si="107"/>
        <v>0.1</v>
      </c>
      <c r="K558" s="37">
        <f t="shared" si="108"/>
        <v>0.15</v>
      </c>
      <c r="M558" s="37">
        <f t="shared" si="110"/>
        <v>6.25E-2</v>
      </c>
      <c r="O558" s="4">
        <f t="shared" si="111"/>
        <v>30000</v>
      </c>
      <c r="Q558" s="4">
        <f t="shared" si="112"/>
        <v>2500</v>
      </c>
      <c r="S558" s="4">
        <f t="shared" si="113"/>
        <v>100</v>
      </c>
      <c r="U558" s="4">
        <f t="shared" ref="U558:U621" si="116">W558*12</f>
        <v>360</v>
      </c>
      <c r="W558" s="4">
        <f t="shared" si="114"/>
        <v>30</v>
      </c>
      <c r="Y558" s="4">
        <f t="shared" si="115"/>
        <v>31.25</v>
      </c>
    </row>
    <row r="559" spans="1:25" ht="14.5" hidden="1" customHeight="1" outlineLevel="1" x14ac:dyDescent="0.35">
      <c r="A559" s="39" t="s">
        <v>1618</v>
      </c>
      <c r="B559" s="39" t="s">
        <v>109</v>
      </c>
      <c r="C559" s="39" t="s">
        <v>1619</v>
      </c>
      <c r="D559" s="39" t="s">
        <v>1620</v>
      </c>
      <c r="E559" s="40" t="s">
        <v>106</v>
      </c>
      <c r="F559" s="39" t="s">
        <v>41</v>
      </c>
      <c r="G559" s="39" t="s">
        <v>110</v>
      </c>
      <c r="H559" s="41">
        <v>2</v>
      </c>
      <c r="I559" s="36">
        <f t="shared" si="109"/>
        <v>8000</v>
      </c>
      <c r="J559" s="37">
        <f t="shared" si="107"/>
        <v>0.1</v>
      </c>
      <c r="K559" s="37">
        <f t="shared" si="108"/>
        <v>0.15</v>
      </c>
      <c r="M559" s="37">
        <f t="shared" si="110"/>
        <v>6.25E-2</v>
      </c>
      <c r="O559" s="4">
        <f t="shared" si="111"/>
        <v>30000</v>
      </c>
      <c r="Q559" s="4">
        <f t="shared" si="112"/>
        <v>2500</v>
      </c>
      <c r="S559" s="4">
        <f t="shared" si="113"/>
        <v>100</v>
      </c>
      <c r="U559" s="4">
        <f t="shared" si="116"/>
        <v>360</v>
      </c>
      <c r="W559" s="4">
        <f t="shared" si="114"/>
        <v>30</v>
      </c>
      <c r="Y559" s="4">
        <f t="shared" si="115"/>
        <v>31.25</v>
      </c>
    </row>
    <row r="560" spans="1:25" ht="14.5" hidden="1" customHeight="1" outlineLevel="1" x14ac:dyDescent="0.35">
      <c r="A560" s="39" t="s">
        <v>1621</v>
      </c>
      <c r="B560" s="39" t="s">
        <v>109</v>
      </c>
      <c r="C560" s="39" t="s">
        <v>109</v>
      </c>
      <c r="D560" s="39" t="s">
        <v>1622</v>
      </c>
      <c r="E560" s="40" t="s">
        <v>126</v>
      </c>
      <c r="F560" s="39" t="s">
        <v>41</v>
      </c>
      <c r="G560" s="39" t="s">
        <v>110</v>
      </c>
      <c r="H560" s="41">
        <v>2</v>
      </c>
      <c r="I560" s="36">
        <f t="shared" si="109"/>
        <v>8000</v>
      </c>
      <c r="J560" s="37">
        <f t="shared" si="107"/>
        <v>0.1</v>
      </c>
      <c r="K560" s="37">
        <f t="shared" si="108"/>
        <v>0.15</v>
      </c>
      <c r="M560" s="37">
        <f t="shared" si="110"/>
        <v>6.25E-2</v>
      </c>
      <c r="O560" s="4">
        <f t="shared" si="111"/>
        <v>30000</v>
      </c>
      <c r="Q560" s="4">
        <f t="shared" si="112"/>
        <v>2500</v>
      </c>
      <c r="S560" s="4">
        <f t="shared" si="113"/>
        <v>100</v>
      </c>
      <c r="U560" s="4">
        <f t="shared" si="116"/>
        <v>360</v>
      </c>
      <c r="W560" s="4">
        <f t="shared" si="114"/>
        <v>30</v>
      </c>
      <c r="Y560" s="4">
        <f t="shared" si="115"/>
        <v>31.25</v>
      </c>
    </row>
    <row r="561" spans="1:25" hidden="1" outlineLevel="1" x14ac:dyDescent="0.35">
      <c r="A561" s="39" t="s">
        <v>1623</v>
      </c>
      <c r="B561" s="39" t="s">
        <v>109</v>
      </c>
      <c r="C561" s="39" t="s">
        <v>109</v>
      </c>
      <c r="D561" s="39" t="s">
        <v>804</v>
      </c>
      <c r="E561" s="40" t="s">
        <v>70</v>
      </c>
      <c r="F561" s="39" t="s">
        <v>41</v>
      </c>
      <c r="G561" s="39" t="s">
        <v>1624</v>
      </c>
      <c r="H561" s="47">
        <v>0</v>
      </c>
      <c r="I561" s="36">
        <f t="shared" si="109"/>
        <v>0</v>
      </c>
      <c r="J561" s="37">
        <f t="shared" si="107"/>
        <v>0</v>
      </c>
      <c r="K561" s="37">
        <f t="shared" si="108"/>
        <v>0</v>
      </c>
      <c r="M561" s="37">
        <f t="shared" si="110"/>
        <v>0</v>
      </c>
      <c r="O561" s="4">
        <f t="shared" si="111"/>
        <v>0</v>
      </c>
      <c r="Q561" s="4">
        <f t="shared" si="112"/>
        <v>0</v>
      </c>
      <c r="S561" s="4">
        <f t="shared" si="113"/>
        <v>0</v>
      </c>
      <c r="U561" s="4">
        <f t="shared" si="116"/>
        <v>0</v>
      </c>
      <c r="W561" s="4">
        <f t="shared" si="114"/>
        <v>0</v>
      </c>
      <c r="Y561" s="4">
        <f t="shared" si="115"/>
        <v>0</v>
      </c>
    </row>
    <row r="562" spans="1:25" hidden="1" outlineLevel="1" x14ac:dyDescent="0.35">
      <c r="A562" s="39" t="s">
        <v>1625</v>
      </c>
      <c r="B562" s="39" t="s">
        <v>109</v>
      </c>
      <c r="C562" s="39" t="s">
        <v>1626</v>
      </c>
      <c r="D562" s="39" t="s">
        <v>1627</v>
      </c>
      <c r="E562" s="40" t="s">
        <v>146</v>
      </c>
      <c r="F562" s="39" t="s">
        <v>41</v>
      </c>
      <c r="G562" s="39" t="s">
        <v>110</v>
      </c>
      <c r="H562" s="47">
        <v>0</v>
      </c>
      <c r="I562" s="36">
        <f t="shared" si="109"/>
        <v>0</v>
      </c>
      <c r="J562" s="37">
        <f t="shared" si="107"/>
        <v>0</v>
      </c>
      <c r="K562" s="37">
        <f t="shared" si="108"/>
        <v>0</v>
      </c>
      <c r="M562" s="37">
        <f t="shared" si="110"/>
        <v>0</v>
      </c>
      <c r="O562" s="4">
        <f t="shared" si="111"/>
        <v>0</v>
      </c>
      <c r="Q562" s="4">
        <f t="shared" si="112"/>
        <v>0</v>
      </c>
      <c r="S562" s="4">
        <f t="shared" si="113"/>
        <v>0</v>
      </c>
      <c r="U562" s="4">
        <f t="shared" si="116"/>
        <v>0</v>
      </c>
      <c r="W562" s="4">
        <f t="shared" si="114"/>
        <v>0</v>
      </c>
      <c r="Y562" s="4">
        <f t="shared" si="115"/>
        <v>0</v>
      </c>
    </row>
    <row r="563" spans="1:25" hidden="1" outlineLevel="1" x14ac:dyDescent="0.35">
      <c r="A563" s="39" t="s">
        <v>1628</v>
      </c>
      <c r="B563" s="39" t="s">
        <v>109</v>
      </c>
      <c r="C563" s="39" t="s">
        <v>1629</v>
      </c>
      <c r="D563" s="39" t="s">
        <v>109</v>
      </c>
      <c r="E563" s="40" t="s">
        <v>109</v>
      </c>
      <c r="F563" s="39" t="s">
        <v>41</v>
      </c>
      <c r="G563" s="39" t="s">
        <v>110</v>
      </c>
      <c r="H563" s="47">
        <v>0</v>
      </c>
      <c r="I563" s="36">
        <f t="shared" si="109"/>
        <v>0</v>
      </c>
      <c r="J563" s="37">
        <f t="shared" si="107"/>
        <v>0</v>
      </c>
      <c r="K563" s="37">
        <f t="shared" si="108"/>
        <v>0</v>
      </c>
      <c r="M563" s="37">
        <f t="shared" si="110"/>
        <v>0</v>
      </c>
      <c r="O563" s="4">
        <f t="shared" si="111"/>
        <v>0</v>
      </c>
      <c r="Q563" s="4">
        <f t="shared" si="112"/>
        <v>0</v>
      </c>
      <c r="S563" s="4">
        <f t="shared" si="113"/>
        <v>0</v>
      </c>
      <c r="U563" s="4">
        <f t="shared" si="116"/>
        <v>0</v>
      </c>
      <c r="W563" s="4">
        <f t="shared" si="114"/>
        <v>0</v>
      </c>
      <c r="Y563" s="4">
        <f t="shared" si="115"/>
        <v>0</v>
      </c>
    </row>
    <row r="564" spans="1:25" hidden="1" outlineLevel="1" x14ac:dyDescent="0.35">
      <c r="A564" s="39" t="s">
        <v>1630</v>
      </c>
      <c r="B564" s="39" t="s">
        <v>109</v>
      </c>
      <c r="C564" s="39" t="s">
        <v>1631</v>
      </c>
      <c r="D564" s="39" t="s">
        <v>1632</v>
      </c>
      <c r="E564" s="40" t="s">
        <v>146</v>
      </c>
      <c r="F564" s="39" t="s">
        <v>41</v>
      </c>
      <c r="G564" s="39" t="s">
        <v>110</v>
      </c>
      <c r="H564" s="47">
        <v>0</v>
      </c>
      <c r="I564" s="36">
        <f t="shared" si="109"/>
        <v>0</v>
      </c>
      <c r="J564" s="37">
        <f t="shared" si="107"/>
        <v>0</v>
      </c>
      <c r="K564" s="37">
        <f t="shared" si="108"/>
        <v>0</v>
      </c>
      <c r="M564" s="37">
        <f t="shared" si="110"/>
        <v>0</v>
      </c>
      <c r="O564" s="4">
        <f t="shared" si="111"/>
        <v>0</v>
      </c>
      <c r="Q564" s="4">
        <f t="shared" si="112"/>
        <v>0</v>
      </c>
      <c r="S564" s="4">
        <f t="shared" si="113"/>
        <v>0</v>
      </c>
      <c r="U564" s="4">
        <f t="shared" si="116"/>
        <v>0</v>
      </c>
      <c r="W564" s="4">
        <f t="shared" si="114"/>
        <v>0</v>
      </c>
      <c r="Y564" s="4">
        <f t="shared" si="115"/>
        <v>0</v>
      </c>
    </row>
    <row r="565" spans="1:25" hidden="1" outlineLevel="1" x14ac:dyDescent="0.35">
      <c r="A565" s="39" t="s">
        <v>1633</v>
      </c>
      <c r="B565" s="39" t="s">
        <v>109</v>
      </c>
      <c r="C565" s="39" t="s">
        <v>1634</v>
      </c>
      <c r="D565" s="39" t="s">
        <v>1635</v>
      </c>
      <c r="E565" s="40" t="s">
        <v>114</v>
      </c>
      <c r="F565" s="39" t="s">
        <v>41</v>
      </c>
      <c r="G565" s="39" t="s">
        <v>110</v>
      </c>
      <c r="H565" s="47">
        <v>0</v>
      </c>
      <c r="I565" s="36">
        <f t="shared" si="109"/>
        <v>0</v>
      </c>
      <c r="J565" s="37">
        <f t="shared" si="107"/>
        <v>0</v>
      </c>
      <c r="K565" s="37">
        <f t="shared" si="108"/>
        <v>0</v>
      </c>
      <c r="M565" s="37">
        <f t="shared" si="110"/>
        <v>0</v>
      </c>
      <c r="O565" s="4">
        <f t="shared" si="111"/>
        <v>0</v>
      </c>
      <c r="Q565" s="4">
        <f t="shared" si="112"/>
        <v>0</v>
      </c>
      <c r="S565" s="4">
        <f t="shared" si="113"/>
        <v>0</v>
      </c>
      <c r="U565" s="4">
        <f t="shared" si="116"/>
        <v>0</v>
      </c>
      <c r="W565" s="4">
        <f t="shared" si="114"/>
        <v>0</v>
      </c>
      <c r="Y565" s="4">
        <f t="shared" si="115"/>
        <v>0</v>
      </c>
    </row>
    <row r="566" spans="1:25" hidden="1" outlineLevel="1" x14ac:dyDescent="0.35">
      <c r="A566" s="39" t="s">
        <v>1636</v>
      </c>
      <c r="B566" s="39" t="s">
        <v>109</v>
      </c>
      <c r="C566" s="39" t="s">
        <v>1637</v>
      </c>
      <c r="D566" s="39" t="s">
        <v>109</v>
      </c>
      <c r="E566" s="40" t="s">
        <v>109</v>
      </c>
      <c r="F566" s="39" t="s">
        <v>41</v>
      </c>
      <c r="G566" s="39" t="s">
        <v>110</v>
      </c>
      <c r="H566" s="47">
        <v>0</v>
      </c>
      <c r="I566" s="36">
        <f t="shared" si="109"/>
        <v>0</v>
      </c>
      <c r="J566" s="37">
        <f t="shared" si="107"/>
        <v>0</v>
      </c>
      <c r="K566" s="37">
        <f t="shared" si="108"/>
        <v>0</v>
      </c>
      <c r="M566" s="37">
        <f t="shared" si="110"/>
        <v>0</v>
      </c>
      <c r="O566" s="4">
        <f t="shared" si="111"/>
        <v>0</v>
      </c>
      <c r="Q566" s="4">
        <f t="shared" si="112"/>
        <v>0</v>
      </c>
      <c r="S566" s="4">
        <f t="shared" si="113"/>
        <v>0</v>
      </c>
      <c r="U566" s="4">
        <f t="shared" si="116"/>
        <v>0</v>
      </c>
      <c r="W566" s="4">
        <f t="shared" si="114"/>
        <v>0</v>
      </c>
      <c r="Y566" s="4">
        <f t="shared" si="115"/>
        <v>0</v>
      </c>
    </row>
    <row r="567" spans="1:25" hidden="1" outlineLevel="1" x14ac:dyDescent="0.35">
      <c r="A567" s="39" t="s">
        <v>1638</v>
      </c>
      <c r="B567" s="39" t="s">
        <v>109</v>
      </c>
      <c r="C567" s="39" t="s">
        <v>1639</v>
      </c>
      <c r="D567" s="39" t="s">
        <v>109</v>
      </c>
      <c r="E567" s="40" t="s">
        <v>109</v>
      </c>
      <c r="F567" s="39" t="s">
        <v>41</v>
      </c>
      <c r="G567" s="39" t="s">
        <v>110</v>
      </c>
      <c r="H567" s="47">
        <v>0</v>
      </c>
      <c r="I567" s="36">
        <f t="shared" si="109"/>
        <v>0</v>
      </c>
      <c r="J567" s="37">
        <f t="shared" si="107"/>
        <v>0</v>
      </c>
      <c r="K567" s="37">
        <f t="shared" si="108"/>
        <v>0</v>
      </c>
      <c r="M567" s="37">
        <f t="shared" si="110"/>
        <v>0</v>
      </c>
      <c r="O567" s="4">
        <f t="shared" si="111"/>
        <v>0</v>
      </c>
      <c r="Q567" s="4">
        <f t="shared" si="112"/>
        <v>0</v>
      </c>
      <c r="S567" s="4">
        <f t="shared" si="113"/>
        <v>0</v>
      </c>
      <c r="U567" s="4">
        <f t="shared" si="116"/>
        <v>0</v>
      </c>
      <c r="W567" s="4">
        <f t="shared" si="114"/>
        <v>0</v>
      </c>
      <c r="Y567" s="4">
        <f t="shared" si="115"/>
        <v>0</v>
      </c>
    </row>
    <row r="568" spans="1:25" hidden="1" outlineLevel="1" x14ac:dyDescent="0.35">
      <c r="A568" s="39" t="s">
        <v>1640</v>
      </c>
      <c r="B568" s="39" t="s">
        <v>109</v>
      </c>
      <c r="C568" s="39" t="s">
        <v>1641</v>
      </c>
      <c r="D568" s="39" t="s">
        <v>109</v>
      </c>
      <c r="E568" s="40" t="s">
        <v>165</v>
      </c>
      <c r="F568" s="39" t="s">
        <v>41</v>
      </c>
      <c r="G568" s="39" t="s">
        <v>110</v>
      </c>
      <c r="H568" s="47">
        <v>0</v>
      </c>
      <c r="I568" s="36">
        <f t="shared" si="109"/>
        <v>0</v>
      </c>
      <c r="J568" s="37">
        <f t="shared" si="107"/>
        <v>0</v>
      </c>
      <c r="K568" s="37">
        <f t="shared" si="108"/>
        <v>0</v>
      </c>
      <c r="M568" s="37">
        <f t="shared" si="110"/>
        <v>0</v>
      </c>
      <c r="O568" s="4">
        <f t="shared" si="111"/>
        <v>0</v>
      </c>
      <c r="Q568" s="4">
        <f t="shared" si="112"/>
        <v>0</v>
      </c>
      <c r="S568" s="4">
        <f t="shared" si="113"/>
        <v>0</v>
      </c>
      <c r="U568" s="4">
        <f t="shared" si="116"/>
        <v>0</v>
      </c>
      <c r="W568" s="4">
        <f t="shared" si="114"/>
        <v>0</v>
      </c>
      <c r="Y568" s="4">
        <f t="shared" si="115"/>
        <v>0</v>
      </c>
    </row>
    <row r="569" spans="1:25" hidden="1" outlineLevel="1" x14ac:dyDescent="0.35">
      <c r="A569" s="39" t="s">
        <v>1642</v>
      </c>
      <c r="B569" s="39" t="s">
        <v>109</v>
      </c>
      <c r="C569" s="39" t="s">
        <v>109</v>
      </c>
      <c r="D569" s="39" t="s">
        <v>1408</v>
      </c>
      <c r="E569" s="40" t="s">
        <v>78</v>
      </c>
      <c r="F569" s="39" t="s">
        <v>41</v>
      </c>
      <c r="G569" s="39" t="s">
        <v>110</v>
      </c>
      <c r="H569" s="47">
        <v>0</v>
      </c>
      <c r="I569" s="36">
        <f t="shared" si="109"/>
        <v>0</v>
      </c>
      <c r="J569" s="37">
        <f t="shared" si="107"/>
        <v>0</v>
      </c>
      <c r="K569" s="37">
        <f t="shared" si="108"/>
        <v>0</v>
      </c>
      <c r="M569" s="37">
        <f t="shared" si="110"/>
        <v>0</v>
      </c>
      <c r="O569" s="4">
        <f t="shared" si="111"/>
        <v>0</v>
      </c>
      <c r="Q569" s="4">
        <f t="shared" si="112"/>
        <v>0</v>
      </c>
      <c r="S569" s="4">
        <f t="shared" si="113"/>
        <v>0</v>
      </c>
      <c r="U569" s="4">
        <f t="shared" si="116"/>
        <v>0</v>
      </c>
      <c r="W569" s="4">
        <f t="shared" si="114"/>
        <v>0</v>
      </c>
      <c r="Y569" s="4">
        <f t="shared" si="115"/>
        <v>0</v>
      </c>
    </row>
    <row r="570" spans="1:25" hidden="1" outlineLevel="1" x14ac:dyDescent="0.35">
      <c r="A570" s="39" t="s">
        <v>1643</v>
      </c>
      <c r="B570" s="39" t="s">
        <v>109</v>
      </c>
      <c r="C570" s="39" t="s">
        <v>1644</v>
      </c>
      <c r="D570" s="39" t="s">
        <v>109</v>
      </c>
      <c r="E570" s="40" t="s">
        <v>109</v>
      </c>
      <c r="F570" s="39" t="s">
        <v>101</v>
      </c>
      <c r="G570" s="39" t="s">
        <v>110</v>
      </c>
      <c r="H570" s="47">
        <v>0</v>
      </c>
      <c r="I570" s="36">
        <f t="shared" si="109"/>
        <v>0</v>
      </c>
      <c r="J570" s="37">
        <f t="shared" si="107"/>
        <v>0</v>
      </c>
      <c r="K570" s="37">
        <f t="shared" si="108"/>
        <v>0</v>
      </c>
      <c r="M570" s="37">
        <f t="shared" si="110"/>
        <v>0</v>
      </c>
      <c r="O570" s="4">
        <f t="shared" si="111"/>
        <v>0</v>
      </c>
      <c r="Q570" s="4">
        <f t="shared" si="112"/>
        <v>0</v>
      </c>
      <c r="S570" s="4">
        <f t="shared" si="113"/>
        <v>0</v>
      </c>
      <c r="U570" s="4">
        <f t="shared" si="116"/>
        <v>0</v>
      </c>
      <c r="W570" s="4">
        <f t="shared" si="114"/>
        <v>0</v>
      </c>
      <c r="Y570" s="4">
        <f t="shared" si="115"/>
        <v>0</v>
      </c>
    </row>
    <row r="571" spans="1:25" hidden="1" outlineLevel="1" x14ac:dyDescent="0.35">
      <c r="A571" s="39" t="s">
        <v>1645</v>
      </c>
      <c r="B571" s="39" t="s">
        <v>109</v>
      </c>
      <c r="C571" s="39" t="s">
        <v>109</v>
      </c>
      <c r="D571" s="39" t="s">
        <v>109</v>
      </c>
      <c r="E571" s="40" t="s">
        <v>109</v>
      </c>
      <c r="F571" s="39" t="s">
        <v>41</v>
      </c>
      <c r="G571" s="39" t="s">
        <v>109</v>
      </c>
      <c r="H571" s="47">
        <v>0</v>
      </c>
      <c r="I571" s="36">
        <f t="shared" si="109"/>
        <v>0</v>
      </c>
      <c r="J571" s="37">
        <f t="shared" si="107"/>
        <v>0</v>
      </c>
      <c r="K571" s="37">
        <f t="shared" si="108"/>
        <v>0</v>
      </c>
      <c r="M571" s="37">
        <f t="shared" si="110"/>
        <v>0</v>
      </c>
      <c r="O571" s="4">
        <f t="shared" si="111"/>
        <v>0</v>
      </c>
      <c r="Q571" s="4">
        <f t="shared" si="112"/>
        <v>0</v>
      </c>
      <c r="S571" s="4">
        <f t="shared" si="113"/>
        <v>0</v>
      </c>
      <c r="U571" s="4">
        <f t="shared" si="116"/>
        <v>0</v>
      </c>
      <c r="W571" s="4">
        <f t="shared" si="114"/>
        <v>0</v>
      </c>
      <c r="Y571" s="4">
        <f t="shared" si="115"/>
        <v>0</v>
      </c>
    </row>
    <row r="572" spans="1:25" hidden="1" outlineLevel="1" x14ac:dyDescent="0.35">
      <c r="A572" s="39" t="s">
        <v>1646</v>
      </c>
      <c r="B572" s="39" t="s">
        <v>109</v>
      </c>
      <c r="C572" s="39" t="s">
        <v>109</v>
      </c>
      <c r="D572" s="39" t="s">
        <v>109</v>
      </c>
      <c r="E572" s="40" t="s">
        <v>109</v>
      </c>
      <c r="F572" s="39" t="s">
        <v>41</v>
      </c>
      <c r="G572" s="39" t="s">
        <v>109</v>
      </c>
      <c r="H572" s="47">
        <v>0</v>
      </c>
      <c r="I572" s="36">
        <f t="shared" si="109"/>
        <v>0</v>
      </c>
      <c r="J572" s="37">
        <f t="shared" si="107"/>
        <v>0</v>
      </c>
      <c r="K572" s="37">
        <f t="shared" si="108"/>
        <v>0</v>
      </c>
      <c r="M572" s="37">
        <f t="shared" si="110"/>
        <v>0</v>
      </c>
      <c r="O572" s="4">
        <f t="shared" si="111"/>
        <v>0</v>
      </c>
      <c r="Q572" s="4">
        <f t="shared" si="112"/>
        <v>0</v>
      </c>
      <c r="S572" s="4">
        <f t="shared" si="113"/>
        <v>0</v>
      </c>
      <c r="U572" s="4">
        <f t="shared" si="116"/>
        <v>0</v>
      </c>
      <c r="W572" s="4">
        <f t="shared" si="114"/>
        <v>0</v>
      </c>
      <c r="Y572" s="4">
        <f t="shared" si="115"/>
        <v>0</v>
      </c>
    </row>
    <row r="573" spans="1:25" hidden="1" outlineLevel="1" x14ac:dyDescent="0.35">
      <c r="A573" s="39" t="s">
        <v>1647</v>
      </c>
      <c r="B573" s="39" t="s">
        <v>109</v>
      </c>
      <c r="C573" s="39" t="s">
        <v>109</v>
      </c>
      <c r="D573" s="39" t="s">
        <v>109</v>
      </c>
      <c r="E573" s="40" t="s">
        <v>109</v>
      </c>
      <c r="F573" s="39" t="s">
        <v>41</v>
      </c>
      <c r="G573" s="39" t="s">
        <v>109</v>
      </c>
      <c r="H573" s="47">
        <v>0</v>
      </c>
      <c r="I573" s="36">
        <f t="shared" si="109"/>
        <v>0</v>
      </c>
      <c r="J573" s="37">
        <f t="shared" si="107"/>
        <v>0</v>
      </c>
      <c r="K573" s="37">
        <f t="shared" si="108"/>
        <v>0</v>
      </c>
      <c r="M573" s="37">
        <f t="shared" si="110"/>
        <v>0</v>
      </c>
      <c r="O573" s="4">
        <f t="shared" si="111"/>
        <v>0</v>
      </c>
      <c r="Q573" s="4">
        <f t="shared" si="112"/>
        <v>0</v>
      </c>
      <c r="S573" s="4">
        <f t="shared" si="113"/>
        <v>0</v>
      </c>
      <c r="U573" s="4">
        <f t="shared" si="116"/>
        <v>0</v>
      </c>
      <c r="W573" s="4">
        <f t="shared" si="114"/>
        <v>0</v>
      </c>
      <c r="Y573" s="4">
        <f t="shared" si="115"/>
        <v>0</v>
      </c>
    </row>
    <row r="574" spans="1:25" hidden="1" outlineLevel="1" x14ac:dyDescent="0.35">
      <c r="A574" s="39" t="s">
        <v>1648</v>
      </c>
      <c r="B574" s="39" t="s">
        <v>109</v>
      </c>
      <c r="C574" s="39" t="s">
        <v>109</v>
      </c>
      <c r="D574" s="39" t="s">
        <v>109</v>
      </c>
      <c r="E574" s="40" t="s">
        <v>109</v>
      </c>
      <c r="F574" s="39" t="s">
        <v>41</v>
      </c>
      <c r="G574" s="39" t="s">
        <v>109</v>
      </c>
      <c r="H574" s="47">
        <v>0</v>
      </c>
      <c r="I574" s="36">
        <f t="shared" si="109"/>
        <v>0</v>
      </c>
      <c r="J574" s="37">
        <f t="shared" si="107"/>
        <v>0</v>
      </c>
      <c r="K574" s="37">
        <f t="shared" si="108"/>
        <v>0</v>
      </c>
      <c r="M574" s="37">
        <f t="shared" si="110"/>
        <v>0</v>
      </c>
      <c r="O574" s="4">
        <f t="shared" si="111"/>
        <v>0</v>
      </c>
      <c r="Q574" s="4">
        <f t="shared" si="112"/>
        <v>0</v>
      </c>
      <c r="S574" s="4">
        <f t="shared" si="113"/>
        <v>0</v>
      </c>
      <c r="U574" s="4">
        <f t="shared" si="116"/>
        <v>0</v>
      </c>
      <c r="W574" s="4">
        <f t="shared" si="114"/>
        <v>0</v>
      </c>
      <c r="Y574" s="4">
        <f t="shared" si="115"/>
        <v>0</v>
      </c>
    </row>
    <row r="575" spans="1:25" hidden="1" outlineLevel="1" x14ac:dyDescent="0.35">
      <c r="A575" s="39" t="s">
        <v>1649</v>
      </c>
      <c r="B575" s="39" t="s">
        <v>109</v>
      </c>
      <c r="C575" s="39" t="s">
        <v>109</v>
      </c>
      <c r="D575" s="39" t="s">
        <v>109</v>
      </c>
      <c r="E575" s="40" t="s">
        <v>109</v>
      </c>
      <c r="F575" s="39" t="s">
        <v>41</v>
      </c>
      <c r="G575" s="39" t="s">
        <v>109</v>
      </c>
      <c r="H575" s="47">
        <v>0</v>
      </c>
      <c r="I575" s="36">
        <f t="shared" si="109"/>
        <v>0</v>
      </c>
      <c r="J575" s="37">
        <f t="shared" si="107"/>
        <v>0</v>
      </c>
      <c r="K575" s="37">
        <f t="shared" si="108"/>
        <v>0</v>
      </c>
      <c r="M575" s="37">
        <f t="shared" si="110"/>
        <v>0</v>
      </c>
      <c r="O575" s="4">
        <f t="shared" si="111"/>
        <v>0</v>
      </c>
      <c r="Q575" s="4">
        <f t="shared" si="112"/>
        <v>0</v>
      </c>
      <c r="S575" s="4">
        <f t="shared" si="113"/>
        <v>0</v>
      </c>
      <c r="U575" s="4">
        <f t="shared" si="116"/>
        <v>0</v>
      </c>
      <c r="W575" s="4">
        <f t="shared" si="114"/>
        <v>0</v>
      </c>
      <c r="Y575" s="4">
        <f t="shared" si="115"/>
        <v>0</v>
      </c>
    </row>
    <row r="576" spans="1:25" hidden="1" outlineLevel="1" x14ac:dyDescent="0.35">
      <c r="A576" s="39" t="s">
        <v>1650</v>
      </c>
      <c r="B576" s="39" t="s">
        <v>109</v>
      </c>
      <c r="C576" s="39" t="s">
        <v>109</v>
      </c>
      <c r="D576" s="39" t="s">
        <v>109</v>
      </c>
      <c r="E576" s="40" t="s">
        <v>109</v>
      </c>
      <c r="F576" s="39" t="s">
        <v>41</v>
      </c>
      <c r="G576" s="39" t="s">
        <v>109</v>
      </c>
      <c r="H576" s="47">
        <v>0</v>
      </c>
      <c r="I576" s="36">
        <f t="shared" si="109"/>
        <v>0</v>
      </c>
      <c r="J576" s="37">
        <f t="shared" si="107"/>
        <v>0</v>
      </c>
      <c r="K576" s="37">
        <f t="shared" si="108"/>
        <v>0</v>
      </c>
      <c r="M576" s="37">
        <f t="shared" si="110"/>
        <v>0</v>
      </c>
      <c r="O576" s="4">
        <f t="shared" si="111"/>
        <v>0</v>
      </c>
      <c r="Q576" s="4">
        <f t="shared" si="112"/>
        <v>0</v>
      </c>
      <c r="S576" s="4">
        <f t="shared" si="113"/>
        <v>0</v>
      </c>
      <c r="U576" s="4">
        <f t="shared" si="116"/>
        <v>0</v>
      </c>
      <c r="W576" s="4">
        <f t="shared" si="114"/>
        <v>0</v>
      </c>
      <c r="Y576" s="4">
        <f t="shared" si="115"/>
        <v>0</v>
      </c>
    </row>
    <row r="577" spans="1:25" hidden="1" outlineLevel="1" x14ac:dyDescent="0.35">
      <c r="A577" s="39" t="s">
        <v>1651</v>
      </c>
      <c r="B577" s="39" t="s">
        <v>109</v>
      </c>
      <c r="C577" s="39" t="s">
        <v>109</v>
      </c>
      <c r="D577" s="39" t="s">
        <v>109</v>
      </c>
      <c r="E577" s="40" t="s">
        <v>109</v>
      </c>
      <c r="F577" s="39" t="s">
        <v>41</v>
      </c>
      <c r="G577" s="39" t="s">
        <v>109</v>
      </c>
      <c r="H577" s="47">
        <v>0</v>
      </c>
      <c r="I577" s="36">
        <f t="shared" si="109"/>
        <v>0</v>
      </c>
      <c r="J577" s="37">
        <f t="shared" si="107"/>
        <v>0</v>
      </c>
      <c r="K577" s="37">
        <f t="shared" si="108"/>
        <v>0</v>
      </c>
      <c r="M577" s="37">
        <f t="shared" si="110"/>
        <v>0</v>
      </c>
      <c r="O577" s="4">
        <f t="shared" si="111"/>
        <v>0</v>
      </c>
      <c r="Q577" s="4">
        <f t="shared" si="112"/>
        <v>0</v>
      </c>
      <c r="S577" s="4">
        <f t="shared" si="113"/>
        <v>0</v>
      </c>
      <c r="U577" s="4">
        <f t="shared" si="116"/>
        <v>0</v>
      </c>
      <c r="W577" s="4">
        <f t="shared" si="114"/>
        <v>0</v>
      </c>
      <c r="Y577" s="4">
        <f t="shared" si="115"/>
        <v>0</v>
      </c>
    </row>
    <row r="578" spans="1:25" hidden="1" outlineLevel="1" x14ac:dyDescent="0.35">
      <c r="A578" s="39" t="s">
        <v>1652</v>
      </c>
      <c r="B578" s="39" t="s">
        <v>109</v>
      </c>
      <c r="C578" s="39" t="s">
        <v>109</v>
      </c>
      <c r="D578" s="39" t="s">
        <v>109</v>
      </c>
      <c r="E578" s="40" t="s">
        <v>109</v>
      </c>
      <c r="F578" s="39" t="s">
        <v>41</v>
      </c>
      <c r="G578" s="39" t="s">
        <v>109</v>
      </c>
      <c r="H578" s="47">
        <v>0</v>
      </c>
      <c r="I578" s="36">
        <f t="shared" si="109"/>
        <v>0</v>
      </c>
      <c r="J578" s="37">
        <f t="shared" si="107"/>
        <v>0</v>
      </c>
      <c r="K578" s="37">
        <f t="shared" si="108"/>
        <v>0</v>
      </c>
      <c r="M578" s="37">
        <f t="shared" si="110"/>
        <v>0</v>
      </c>
      <c r="O578" s="4">
        <f t="shared" si="111"/>
        <v>0</v>
      </c>
      <c r="Q578" s="4">
        <f t="shared" si="112"/>
        <v>0</v>
      </c>
      <c r="S578" s="4">
        <f t="shared" si="113"/>
        <v>0</v>
      </c>
      <c r="U578" s="4">
        <f t="shared" si="116"/>
        <v>0</v>
      </c>
      <c r="W578" s="4">
        <f t="shared" si="114"/>
        <v>0</v>
      </c>
      <c r="Y578" s="4">
        <f t="shared" si="115"/>
        <v>0</v>
      </c>
    </row>
    <row r="579" spans="1:25" hidden="1" outlineLevel="1" x14ac:dyDescent="0.35">
      <c r="A579" s="39" t="s">
        <v>1653</v>
      </c>
      <c r="B579" s="39" t="s">
        <v>109</v>
      </c>
      <c r="C579" s="39" t="s">
        <v>109</v>
      </c>
      <c r="D579" s="39" t="s">
        <v>109</v>
      </c>
      <c r="E579" s="40" t="s">
        <v>109</v>
      </c>
      <c r="F579" s="39" t="s">
        <v>41</v>
      </c>
      <c r="G579" s="39" t="s">
        <v>109</v>
      </c>
      <c r="H579" s="47">
        <v>0</v>
      </c>
      <c r="I579" s="36">
        <f t="shared" si="109"/>
        <v>0</v>
      </c>
      <c r="J579" s="37">
        <f t="shared" si="107"/>
        <v>0</v>
      </c>
      <c r="K579" s="37">
        <f t="shared" si="108"/>
        <v>0</v>
      </c>
      <c r="M579" s="37">
        <f t="shared" si="110"/>
        <v>0</v>
      </c>
      <c r="O579" s="4">
        <f t="shared" si="111"/>
        <v>0</v>
      </c>
      <c r="Q579" s="4">
        <f t="shared" si="112"/>
        <v>0</v>
      </c>
      <c r="S579" s="4">
        <f t="shared" si="113"/>
        <v>0</v>
      </c>
      <c r="U579" s="4">
        <f t="shared" si="116"/>
        <v>0</v>
      </c>
      <c r="W579" s="4">
        <f t="shared" si="114"/>
        <v>0</v>
      </c>
      <c r="Y579" s="4">
        <f t="shared" si="115"/>
        <v>0</v>
      </c>
    </row>
    <row r="580" spans="1:25" hidden="1" outlineLevel="1" x14ac:dyDescent="0.35">
      <c r="A580" s="39" t="s">
        <v>1654</v>
      </c>
      <c r="B580" s="39" t="s">
        <v>109</v>
      </c>
      <c r="C580" s="39" t="s">
        <v>109</v>
      </c>
      <c r="D580" s="39" t="s">
        <v>109</v>
      </c>
      <c r="E580" s="40" t="s">
        <v>109</v>
      </c>
      <c r="F580" s="39" t="s">
        <v>41</v>
      </c>
      <c r="G580" s="39" t="s">
        <v>109</v>
      </c>
      <c r="H580" s="47">
        <v>0</v>
      </c>
      <c r="I580" s="36">
        <f t="shared" si="109"/>
        <v>0</v>
      </c>
      <c r="J580" s="37">
        <f t="shared" si="107"/>
        <v>0</v>
      </c>
      <c r="K580" s="37">
        <f t="shared" si="108"/>
        <v>0</v>
      </c>
      <c r="M580" s="37">
        <f t="shared" si="110"/>
        <v>0</v>
      </c>
      <c r="O580" s="4">
        <f t="shared" si="111"/>
        <v>0</v>
      </c>
      <c r="Q580" s="4">
        <f t="shared" si="112"/>
        <v>0</v>
      </c>
      <c r="S580" s="4">
        <f t="shared" si="113"/>
        <v>0</v>
      </c>
      <c r="U580" s="4">
        <f t="shared" si="116"/>
        <v>0</v>
      </c>
      <c r="W580" s="4">
        <f t="shared" si="114"/>
        <v>0</v>
      </c>
      <c r="Y580" s="4">
        <f t="shared" si="115"/>
        <v>0</v>
      </c>
    </row>
    <row r="581" spans="1:25" hidden="1" outlineLevel="1" x14ac:dyDescent="0.35">
      <c r="A581" s="39" t="s">
        <v>1655</v>
      </c>
      <c r="B581" s="39" t="s">
        <v>109</v>
      </c>
      <c r="C581" s="39" t="s">
        <v>109</v>
      </c>
      <c r="D581" s="39" t="s">
        <v>109</v>
      </c>
      <c r="E581" s="40" t="s">
        <v>109</v>
      </c>
      <c r="F581" s="39" t="s">
        <v>41</v>
      </c>
      <c r="G581" s="39" t="s">
        <v>109</v>
      </c>
      <c r="H581" s="47">
        <v>0</v>
      </c>
      <c r="I581" s="36">
        <f t="shared" si="109"/>
        <v>0</v>
      </c>
      <c r="J581" s="37">
        <f t="shared" si="107"/>
        <v>0</v>
      </c>
      <c r="K581" s="37">
        <f t="shared" si="108"/>
        <v>0</v>
      </c>
      <c r="M581" s="37">
        <f t="shared" si="110"/>
        <v>0</v>
      </c>
      <c r="O581" s="4">
        <f t="shared" si="111"/>
        <v>0</v>
      </c>
      <c r="Q581" s="4">
        <f t="shared" si="112"/>
        <v>0</v>
      </c>
      <c r="S581" s="4">
        <f t="shared" si="113"/>
        <v>0</v>
      </c>
      <c r="U581" s="4">
        <f t="shared" si="116"/>
        <v>0</v>
      </c>
      <c r="W581" s="4">
        <f t="shared" si="114"/>
        <v>0</v>
      </c>
      <c r="Y581" s="4">
        <f t="shared" si="115"/>
        <v>0</v>
      </c>
    </row>
    <row r="582" spans="1:25" hidden="1" outlineLevel="1" x14ac:dyDescent="0.35">
      <c r="A582" s="39" t="s">
        <v>1656</v>
      </c>
      <c r="B582" s="39" t="s">
        <v>109</v>
      </c>
      <c r="C582" s="39" t="s">
        <v>109</v>
      </c>
      <c r="D582" s="39" t="s">
        <v>109</v>
      </c>
      <c r="E582" s="40" t="s">
        <v>109</v>
      </c>
      <c r="F582" s="39" t="s">
        <v>41</v>
      </c>
      <c r="G582" s="39" t="s">
        <v>109</v>
      </c>
      <c r="H582" s="47">
        <v>0</v>
      </c>
      <c r="I582" s="36">
        <f t="shared" si="109"/>
        <v>0</v>
      </c>
      <c r="J582" s="37">
        <f t="shared" si="107"/>
        <v>0</v>
      </c>
      <c r="K582" s="37">
        <f t="shared" si="108"/>
        <v>0</v>
      </c>
      <c r="M582" s="37">
        <f t="shared" si="110"/>
        <v>0</v>
      </c>
      <c r="O582" s="4">
        <f t="shared" si="111"/>
        <v>0</v>
      </c>
      <c r="Q582" s="4">
        <f t="shared" si="112"/>
        <v>0</v>
      </c>
      <c r="S582" s="4">
        <f t="shared" si="113"/>
        <v>0</v>
      </c>
      <c r="U582" s="4">
        <f t="shared" si="116"/>
        <v>0</v>
      </c>
      <c r="W582" s="4">
        <f t="shared" si="114"/>
        <v>0</v>
      </c>
      <c r="Y582" s="4">
        <f t="shared" si="115"/>
        <v>0</v>
      </c>
    </row>
    <row r="583" spans="1:25" hidden="1" outlineLevel="1" x14ac:dyDescent="0.35">
      <c r="A583" s="39" t="s">
        <v>1657</v>
      </c>
      <c r="B583" s="39" t="s">
        <v>109</v>
      </c>
      <c r="C583" s="39" t="s">
        <v>109</v>
      </c>
      <c r="D583" s="39" t="s">
        <v>109</v>
      </c>
      <c r="E583" s="40" t="s">
        <v>109</v>
      </c>
      <c r="F583" s="39" t="s">
        <v>41</v>
      </c>
      <c r="G583" s="39" t="s">
        <v>109</v>
      </c>
      <c r="H583" s="47">
        <v>0</v>
      </c>
      <c r="I583" s="36">
        <f t="shared" si="109"/>
        <v>0</v>
      </c>
      <c r="J583" s="37">
        <f t="shared" si="107"/>
        <v>0</v>
      </c>
      <c r="K583" s="37">
        <f t="shared" si="108"/>
        <v>0</v>
      </c>
      <c r="M583" s="37">
        <f t="shared" si="110"/>
        <v>0</v>
      </c>
      <c r="O583" s="4">
        <f t="shared" si="111"/>
        <v>0</v>
      </c>
      <c r="Q583" s="4">
        <f t="shared" si="112"/>
        <v>0</v>
      </c>
      <c r="S583" s="4">
        <f t="shared" si="113"/>
        <v>0</v>
      </c>
      <c r="U583" s="4">
        <f t="shared" si="116"/>
        <v>0</v>
      </c>
      <c r="W583" s="4">
        <f t="shared" si="114"/>
        <v>0</v>
      </c>
      <c r="Y583" s="4">
        <f t="shared" si="115"/>
        <v>0</v>
      </c>
    </row>
    <row r="584" spans="1:25" hidden="1" outlineLevel="1" x14ac:dyDescent="0.35">
      <c r="A584" s="39" t="s">
        <v>1658</v>
      </c>
      <c r="B584" s="39" t="s">
        <v>109</v>
      </c>
      <c r="C584" s="39" t="s">
        <v>109</v>
      </c>
      <c r="D584" s="39" t="s">
        <v>109</v>
      </c>
      <c r="E584" s="40" t="s">
        <v>109</v>
      </c>
      <c r="F584" s="39" t="s">
        <v>41</v>
      </c>
      <c r="G584" s="39" t="s">
        <v>109</v>
      </c>
      <c r="H584" s="47">
        <v>0</v>
      </c>
      <c r="I584" s="36">
        <f t="shared" si="109"/>
        <v>0</v>
      </c>
      <c r="J584" s="37">
        <f t="shared" si="107"/>
        <v>0</v>
      </c>
      <c r="K584" s="37">
        <f t="shared" si="108"/>
        <v>0</v>
      </c>
      <c r="M584" s="37">
        <f t="shared" si="110"/>
        <v>0</v>
      </c>
      <c r="O584" s="4">
        <f t="shared" si="111"/>
        <v>0</v>
      </c>
      <c r="Q584" s="4">
        <f t="shared" si="112"/>
        <v>0</v>
      </c>
      <c r="S584" s="4">
        <f t="shared" si="113"/>
        <v>0</v>
      </c>
      <c r="U584" s="4">
        <f t="shared" si="116"/>
        <v>0</v>
      </c>
      <c r="W584" s="4">
        <f t="shared" si="114"/>
        <v>0</v>
      </c>
      <c r="Y584" s="4">
        <f t="shared" si="115"/>
        <v>0</v>
      </c>
    </row>
    <row r="585" spans="1:25" hidden="1" outlineLevel="1" x14ac:dyDescent="0.35">
      <c r="A585" s="39" t="s">
        <v>1659</v>
      </c>
      <c r="B585" s="39" t="s">
        <v>109</v>
      </c>
      <c r="C585" s="39" t="s">
        <v>109</v>
      </c>
      <c r="D585" s="39" t="s">
        <v>109</v>
      </c>
      <c r="E585" s="40" t="s">
        <v>109</v>
      </c>
      <c r="F585" s="39" t="s">
        <v>41</v>
      </c>
      <c r="G585" s="39" t="s">
        <v>109</v>
      </c>
      <c r="H585" s="47">
        <v>0</v>
      </c>
      <c r="I585" s="36">
        <f t="shared" si="109"/>
        <v>0</v>
      </c>
      <c r="J585" s="37">
        <f t="shared" si="107"/>
        <v>0</v>
      </c>
      <c r="K585" s="37">
        <f t="shared" si="108"/>
        <v>0</v>
      </c>
      <c r="M585" s="37">
        <f t="shared" si="110"/>
        <v>0</v>
      </c>
      <c r="O585" s="4">
        <f t="shared" si="111"/>
        <v>0</v>
      </c>
      <c r="Q585" s="4">
        <f t="shared" si="112"/>
        <v>0</v>
      </c>
      <c r="S585" s="4">
        <f t="shared" si="113"/>
        <v>0</v>
      </c>
      <c r="U585" s="4">
        <f t="shared" si="116"/>
        <v>0</v>
      </c>
      <c r="W585" s="4">
        <f t="shared" si="114"/>
        <v>0</v>
      </c>
      <c r="Y585" s="4">
        <f t="shared" si="115"/>
        <v>0</v>
      </c>
    </row>
    <row r="586" spans="1:25" hidden="1" outlineLevel="1" x14ac:dyDescent="0.35">
      <c r="A586" s="39" t="s">
        <v>1660</v>
      </c>
      <c r="B586" s="39" t="s">
        <v>109</v>
      </c>
      <c r="C586" s="39" t="s">
        <v>109</v>
      </c>
      <c r="D586" s="39" t="s">
        <v>109</v>
      </c>
      <c r="E586" s="40" t="s">
        <v>109</v>
      </c>
      <c r="F586" s="39" t="s">
        <v>41</v>
      </c>
      <c r="G586" s="39" t="s">
        <v>109</v>
      </c>
      <c r="H586" s="47">
        <v>0</v>
      </c>
      <c r="I586" s="36">
        <f t="shared" si="109"/>
        <v>0</v>
      </c>
      <c r="J586" s="37">
        <f t="shared" si="107"/>
        <v>0</v>
      </c>
      <c r="K586" s="37">
        <f t="shared" si="108"/>
        <v>0</v>
      </c>
      <c r="M586" s="37">
        <f t="shared" si="110"/>
        <v>0</v>
      </c>
      <c r="O586" s="4">
        <f t="shared" si="111"/>
        <v>0</v>
      </c>
      <c r="Q586" s="4">
        <f t="shared" si="112"/>
        <v>0</v>
      </c>
      <c r="S586" s="4">
        <f t="shared" si="113"/>
        <v>0</v>
      </c>
      <c r="U586" s="4">
        <f t="shared" si="116"/>
        <v>0</v>
      </c>
      <c r="W586" s="4">
        <f t="shared" si="114"/>
        <v>0</v>
      </c>
      <c r="Y586" s="4">
        <f t="shared" si="115"/>
        <v>0</v>
      </c>
    </row>
    <row r="587" spans="1:25" hidden="1" outlineLevel="1" x14ac:dyDescent="0.35">
      <c r="A587" s="39" t="s">
        <v>1661</v>
      </c>
      <c r="B587" s="39" t="s">
        <v>109</v>
      </c>
      <c r="C587" s="39" t="s">
        <v>109</v>
      </c>
      <c r="D587" s="39" t="s">
        <v>109</v>
      </c>
      <c r="E587" s="40" t="s">
        <v>109</v>
      </c>
      <c r="F587" s="39" t="s">
        <v>41</v>
      </c>
      <c r="G587" s="39" t="s">
        <v>109</v>
      </c>
      <c r="H587" s="47">
        <v>0</v>
      </c>
      <c r="I587" s="36">
        <f t="shared" si="109"/>
        <v>0</v>
      </c>
      <c r="J587" s="37">
        <f t="shared" si="107"/>
        <v>0</v>
      </c>
      <c r="K587" s="37">
        <f t="shared" si="108"/>
        <v>0</v>
      </c>
      <c r="M587" s="37">
        <f t="shared" si="110"/>
        <v>0</v>
      </c>
      <c r="O587" s="4">
        <f t="shared" si="111"/>
        <v>0</v>
      </c>
      <c r="Q587" s="4">
        <f t="shared" si="112"/>
        <v>0</v>
      </c>
      <c r="S587" s="4">
        <f t="shared" si="113"/>
        <v>0</v>
      </c>
      <c r="U587" s="4">
        <f t="shared" si="116"/>
        <v>0</v>
      </c>
      <c r="W587" s="4">
        <f t="shared" si="114"/>
        <v>0</v>
      </c>
      <c r="Y587" s="4">
        <f t="shared" si="115"/>
        <v>0</v>
      </c>
    </row>
    <row r="588" spans="1:25" hidden="1" outlineLevel="1" x14ac:dyDescent="0.35">
      <c r="A588" s="39" t="s">
        <v>1662</v>
      </c>
      <c r="B588" s="39" t="s">
        <v>109</v>
      </c>
      <c r="C588" s="39" t="s">
        <v>109</v>
      </c>
      <c r="D588" s="39" t="s">
        <v>109</v>
      </c>
      <c r="E588" s="40" t="s">
        <v>109</v>
      </c>
      <c r="F588" s="39" t="s">
        <v>41</v>
      </c>
      <c r="G588" s="39" t="s">
        <v>109</v>
      </c>
      <c r="H588" s="47">
        <v>0</v>
      </c>
      <c r="I588" s="36">
        <f t="shared" si="109"/>
        <v>0</v>
      </c>
      <c r="J588" s="37">
        <f t="shared" si="107"/>
        <v>0</v>
      </c>
      <c r="K588" s="37">
        <f t="shared" si="108"/>
        <v>0</v>
      </c>
      <c r="M588" s="37">
        <f t="shared" si="110"/>
        <v>0</v>
      </c>
      <c r="O588" s="4">
        <f t="shared" si="111"/>
        <v>0</v>
      </c>
      <c r="Q588" s="4">
        <f t="shared" si="112"/>
        <v>0</v>
      </c>
      <c r="S588" s="4">
        <f t="shared" si="113"/>
        <v>0</v>
      </c>
      <c r="U588" s="4">
        <f t="shared" si="116"/>
        <v>0</v>
      </c>
      <c r="W588" s="4">
        <f t="shared" si="114"/>
        <v>0</v>
      </c>
      <c r="Y588" s="4">
        <f t="shared" si="115"/>
        <v>0</v>
      </c>
    </row>
    <row r="589" spans="1:25" hidden="1" outlineLevel="1" x14ac:dyDescent="0.35">
      <c r="A589" s="39" t="s">
        <v>1663</v>
      </c>
      <c r="B589" s="39" t="s">
        <v>109</v>
      </c>
      <c r="C589" s="39" t="s">
        <v>109</v>
      </c>
      <c r="D589" s="39" t="s">
        <v>109</v>
      </c>
      <c r="E589" s="40" t="s">
        <v>109</v>
      </c>
      <c r="F589" s="39" t="s">
        <v>41</v>
      </c>
      <c r="G589" s="39" t="s">
        <v>109</v>
      </c>
      <c r="H589" s="47">
        <v>0</v>
      </c>
      <c r="I589" s="36">
        <f t="shared" si="109"/>
        <v>0</v>
      </c>
      <c r="J589" s="37">
        <f t="shared" si="107"/>
        <v>0</v>
      </c>
      <c r="K589" s="37">
        <f t="shared" si="108"/>
        <v>0</v>
      </c>
      <c r="M589" s="37">
        <f t="shared" si="110"/>
        <v>0</v>
      </c>
      <c r="O589" s="4">
        <f t="shared" si="111"/>
        <v>0</v>
      </c>
      <c r="Q589" s="4">
        <f t="shared" si="112"/>
        <v>0</v>
      </c>
      <c r="S589" s="4">
        <f t="shared" si="113"/>
        <v>0</v>
      </c>
      <c r="U589" s="4">
        <f t="shared" si="116"/>
        <v>0</v>
      </c>
      <c r="W589" s="4">
        <f t="shared" si="114"/>
        <v>0</v>
      </c>
      <c r="Y589" s="4">
        <f t="shared" si="115"/>
        <v>0</v>
      </c>
    </row>
    <row r="590" spans="1:25" hidden="1" outlineLevel="1" x14ac:dyDescent="0.35">
      <c r="A590" s="39" t="s">
        <v>1664</v>
      </c>
      <c r="B590" s="39" t="s">
        <v>109</v>
      </c>
      <c r="C590" s="39" t="s">
        <v>109</v>
      </c>
      <c r="D590" s="39" t="s">
        <v>109</v>
      </c>
      <c r="E590" s="40" t="s">
        <v>109</v>
      </c>
      <c r="F590" s="39" t="s">
        <v>41</v>
      </c>
      <c r="G590" s="39" t="s">
        <v>109</v>
      </c>
      <c r="H590" s="47">
        <v>0</v>
      </c>
      <c r="I590" s="36">
        <f t="shared" si="109"/>
        <v>0</v>
      </c>
      <c r="J590" s="37">
        <f t="shared" si="107"/>
        <v>0</v>
      </c>
      <c r="K590" s="37">
        <f t="shared" si="108"/>
        <v>0</v>
      </c>
      <c r="M590" s="37">
        <f t="shared" si="110"/>
        <v>0</v>
      </c>
      <c r="O590" s="4">
        <f t="shared" si="111"/>
        <v>0</v>
      </c>
      <c r="Q590" s="4">
        <f t="shared" si="112"/>
        <v>0</v>
      </c>
      <c r="S590" s="4">
        <f t="shared" si="113"/>
        <v>0</v>
      </c>
      <c r="U590" s="4">
        <f t="shared" si="116"/>
        <v>0</v>
      </c>
      <c r="W590" s="4">
        <f t="shared" si="114"/>
        <v>0</v>
      </c>
      <c r="Y590" s="4">
        <f t="shared" si="115"/>
        <v>0</v>
      </c>
    </row>
    <row r="591" spans="1:25" hidden="1" outlineLevel="1" x14ac:dyDescent="0.35">
      <c r="A591" s="39" t="s">
        <v>1665</v>
      </c>
      <c r="B591" s="39" t="s">
        <v>109</v>
      </c>
      <c r="C591" s="39" t="s">
        <v>109</v>
      </c>
      <c r="D591" s="39" t="s">
        <v>109</v>
      </c>
      <c r="E591" s="40" t="s">
        <v>109</v>
      </c>
      <c r="F591" s="39" t="s">
        <v>41</v>
      </c>
      <c r="G591" s="39" t="s">
        <v>109</v>
      </c>
      <c r="H591" s="47">
        <v>0</v>
      </c>
      <c r="I591" s="36">
        <f t="shared" si="109"/>
        <v>0</v>
      </c>
      <c r="J591" s="37">
        <f t="shared" si="107"/>
        <v>0</v>
      </c>
      <c r="K591" s="37">
        <f t="shared" si="108"/>
        <v>0</v>
      </c>
      <c r="M591" s="37">
        <f t="shared" si="110"/>
        <v>0</v>
      </c>
      <c r="O591" s="4">
        <f t="shared" si="111"/>
        <v>0</v>
      </c>
      <c r="Q591" s="4">
        <f t="shared" si="112"/>
        <v>0</v>
      </c>
      <c r="S591" s="4">
        <f t="shared" si="113"/>
        <v>0</v>
      </c>
      <c r="U591" s="4">
        <f t="shared" si="116"/>
        <v>0</v>
      </c>
      <c r="W591" s="4">
        <f t="shared" si="114"/>
        <v>0</v>
      </c>
      <c r="Y591" s="4">
        <f t="shared" si="115"/>
        <v>0</v>
      </c>
    </row>
    <row r="592" spans="1:25" hidden="1" outlineLevel="1" x14ac:dyDescent="0.35">
      <c r="A592" s="39" t="s">
        <v>1666</v>
      </c>
      <c r="B592" s="39" t="s">
        <v>109</v>
      </c>
      <c r="C592" s="39" t="s">
        <v>109</v>
      </c>
      <c r="D592" s="39" t="s">
        <v>109</v>
      </c>
      <c r="E592" s="40" t="s">
        <v>109</v>
      </c>
      <c r="F592" s="39" t="s">
        <v>41</v>
      </c>
      <c r="G592" s="39" t="s">
        <v>109</v>
      </c>
      <c r="H592" s="47">
        <v>0</v>
      </c>
      <c r="I592" s="36">
        <f t="shared" si="109"/>
        <v>0</v>
      </c>
      <c r="J592" s="37">
        <f t="shared" si="107"/>
        <v>0</v>
      </c>
      <c r="K592" s="37">
        <f t="shared" si="108"/>
        <v>0</v>
      </c>
      <c r="M592" s="37">
        <f t="shared" si="110"/>
        <v>0</v>
      </c>
      <c r="O592" s="4">
        <f t="shared" si="111"/>
        <v>0</v>
      </c>
      <c r="Q592" s="4">
        <f t="shared" si="112"/>
        <v>0</v>
      </c>
      <c r="S592" s="4">
        <f t="shared" si="113"/>
        <v>0</v>
      </c>
      <c r="U592" s="4">
        <f t="shared" si="116"/>
        <v>0</v>
      </c>
      <c r="W592" s="4">
        <f t="shared" si="114"/>
        <v>0</v>
      </c>
      <c r="Y592" s="4">
        <f t="shared" si="115"/>
        <v>0</v>
      </c>
    </row>
    <row r="593" spans="1:25" hidden="1" outlineLevel="1" x14ac:dyDescent="0.35">
      <c r="A593" s="39" t="s">
        <v>1667</v>
      </c>
      <c r="B593" s="39" t="s">
        <v>109</v>
      </c>
      <c r="C593" s="39" t="s">
        <v>109</v>
      </c>
      <c r="D593" s="39" t="s">
        <v>109</v>
      </c>
      <c r="E593" s="40" t="s">
        <v>109</v>
      </c>
      <c r="F593" s="39" t="s">
        <v>41</v>
      </c>
      <c r="G593" s="39" t="s">
        <v>109</v>
      </c>
      <c r="H593" s="47">
        <v>0</v>
      </c>
      <c r="I593" s="36">
        <f t="shared" si="109"/>
        <v>0</v>
      </c>
      <c r="J593" s="37">
        <f t="shared" si="107"/>
        <v>0</v>
      </c>
      <c r="K593" s="37">
        <f t="shared" si="108"/>
        <v>0</v>
      </c>
      <c r="M593" s="37">
        <f t="shared" si="110"/>
        <v>0</v>
      </c>
      <c r="O593" s="4">
        <f t="shared" si="111"/>
        <v>0</v>
      </c>
      <c r="Q593" s="4">
        <f t="shared" si="112"/>
        <v>0</v>
      </c>
      <c r="S593" s="4">
        <f t="shared" si="113"/>
        <v>0</v>
      </c>
      <c r="U593" s="4">
        <f t="shared" si="116"/>
        <v>0</v>
      </c>
      <c r="W593" s="4">
        <f t="shared" si="114"/>
        <v>0</v>
      </c>
      <c r="Y593" s="4">
        <f t="shared" si="115"/>
        <v>0</v>
      </c>
    </row>
    <row r="594" spans="1:25" hidden="1" outlineLevel="1" x14ac:dyDescent="0.35">
      <c r="A594" s="39" t="s">
        <v>1668</v>
      </c>
      <c r="B594" s="39" t="s">
        <v>109</v>
      </c>
      <c r="C594" s="39" t="s">
        <v>109</v>
      </c>
      <c r="D594" s="39" t="s">
        <v>109</v>
      </c>
      <c r="E594" s="40" t="s">
        <v>109</v>
      </c>
      <c r="F594" s="39" t="s">
        <v>41</v>
      </c>
      <c r="G594" s="39" t="s">
        <v>109</v>
      </c>
      <c r="H594" s="47">
        <v>0</v>
      </c>
      <c r="I594" s="36">
        <f t="shared" si="109"/>
        <v>0</v>
      </c>
      <c r="J594" s="37">
        <f t="shared" si="107"/>
        <v>0</v>
      </c>
      <c r="K594" s="37">
        <f t="shared" si="108"/>
        <v>0</v>
      </c>
      <c r="M594" s="37">
        <f t="shared" si="110"/>
        <v>0</v>
      </c>
      <c r="O594" s="4">
        <f t="shared" si="111"/>
        <v>0</v>
      </c>
      <c r="Q594" s="4">
        <f t="shared" si="112"/>
        <v>0</v>
      </c>
      <c r="S594" s="4">
        <f t="shared" si="113"/>
        <v>0</v>
      </c>
      <c r="U594" s="4">
        <f t="shared" si="116"/>
        <v>0</v>
      </c>
      <c r="W594" s="4">
        <f t="shared" si="114"/>
        <v>0</v>
      </c>
      <c r="Y594" s="4">
        <f t="shared" si="115"/>
        <v>0</v>
      </c>
    </row>
    <row r="595" spans="1:25" hidden="1" outlineLevel="1" x14ac:dyDescent="0.35">
      <c r="A595" s="39" t="s">
        <v>1669</v>
      </c>
      <c r="B595" s="39" t="s">
        <v>109</v>
      </c>
      <c r="C595" s="39" t="s">
        <v>109</v>
      </c>
      <c r="D595" s="39" t="s">
        <v>109</v>
      </c>
      <c r="E595" s="40" t="s">
        <v>109</v>
      </c>
      <c r="F595" s="39" t="s">
        <v>41</v>
      </c>
      <c r="G595" s="39" t="s">
        <v>109</v>
      </c>
      <c r="H595" s="47">
        <v>0</v>
      </c>
      <c r="I595" s="36">
        <f t="shared" si="109"/>
        <v>0</v>
      </c>
      <c r="J595" s="37">
        <f t="shared" si="107"/>
        <v>0</v>
      </c>
      <c r="K595" s="37">
        <f t="shared" si="108"/>
        <v>0</v>
      </c>
      <c r="M595" s="37">
        <f t="shared" si="110"/>
        <v>0</v>
      </c>
      <c r="O595" s="4">
        <f t="shared" si="111"/>
        <v>0</v>
      </c>
      <c r="Q595" s="4">
        <f t="shared" si="112"/>
        <v>0</v>
      </c>
      <c r="S595" s="4">
        <f t="shared" si="113"/>
        <v>0</v>
      </c>
      <c r="U595" s="4">
        <f t="shared" si="116"/>
        <v>0</v>
      </c>
      <c r="W595" s="4">
        <f t="shared" si="114"/>
        <v>0</v>
      </c>
      <c r="Y595" s="4">
        <f t="shared" si="115"/>
        <v>0</v>
      </c>
    </row>
    <row r="596" spans="1:25" hidden="1" outlineLevel="1" x14ac:dyDescent="0.35">
      <c r="A596" s="39" t="s">
        <v>1670</v>
      </c>
      <c r="B596" s="39" t="s">
        <v>109</v>
      </c>
      <c r="C596" s="39" t="s">
        <v>109</v>
      </c>
      <c r="D596" s="39" t="s">
        <v>109</v>
      </c>
      <c r="E596" s="40" t="s">
        <v>109</v>
      </c>
      <c r="F596" s="39" t="s">
        <v>41</v>
      </c>
      <c r="G596" s="39" t="s">
        <v>109</v>
      </c>
      <c r="H596" s="47">
        <v>0</v>
      </c>
      <c r="I596" s="36">
        <f t="shared" si="109"/>
        <v>0</v>
      </c>
      <c r="J596" s="37">
        <f t="shared" si="107"/>
        <v>0</v>
      </c>
      <c r="K596" s="37">
        <f t="shared" si="108"/>
        <v>0</v>
      </c>
      <c r="M596" s="37">
        <f t="shared" si="110"/>
        <v>0</v>
      </c>
      <c r="O596" s="4">
        <f t="shared" si="111"/>
        <v>0</v>
      </c>
      <c r="Q596" s="4">
        <f t="shared" si="112"/>
        <v>0</v>
      </c>
      <c r="S596" s="4">
        <f t="shared" si="113"/>
        <v>0</v>
      </c>
      <c r="U596" s="4">
        <f t="shared" si="116"/>
        <v>0</v>
      </c>
      <c r="W596" s="4">
        <f t="shared" si="114"/>
        <v>0</v>
      </c>
      <c r="Y596" s="4">
        <f t="shared" si="115"/>
        <v>0</v>
      </c>
    </row>
    <row r="597" spans="1:25" hidden="1" outlineLevel="1" x14ac:dyDescent="0.35">
      <c r="A597" s="39" t="s">
        <v>1671</v>
      </c>
      <c r="B597" s="39" t="s">
        <v>109</v>
      </c>
      <c r="C597" s="39" t="s">
        <v>109</v>
      </c>
      <c r="D597" s="39" t="s">
        <v>109</v>
      </c>
      <c r="E597" s="40" t="s">
        <v>109</v>
      </c>
      <c r="F597" s="39" t="s">
        <v>41</v>
      </c>
      <c r="G597" s="39" t="s">
        <v>109</v>
      </c>
      <c r="H597" s="47">
        <v>0</v>
      </c>
      <c r="I597" s="36">
        <f t="shared" si="109"/>
        <v>0</v>
      </c>
      <c r="J597" s="37">
        <f t="shared" si="107"/>
        <v>0</v>
      </c>
      <c r="K597" s="37">
        <f t="shared" si="108"/>
        <v>0</v>
      </c>
      <c r="M597" s="37">
        <f t="shared" si="110"/>
        <v>0</v>
      </c>
      <c r="O597" s="4">
        <f t="shared" si="111"/>
        <v>0</v>
      </c>
      <c r="Q597" s="4">
        <f t="shared" si="112"/>
        <v>0</v>
      </c>
      <c r="S597" s="4">
        <f t="shared" si="113"/>
        <v>0</v>
      </c>
      <c r="U597" s="4">
        <f t="shared" si="116"/>
        <v>0</v>
      </c>
      <c r="W597" s="4">
        <f t="shared" si="114"/>
        <v>0</v>
      </c>
      <c r="Y597" s="4">
        <f t="shared" si="115"/>
        <v>0</v>
      </c>
    </row>
    <row r="598" spans="1:25" hidden="1" outlineLevel="1" x14ac:dyDescent="0.35">
      <c r="A598" s="39" t="s">
        <v>1672</v>
      </c>
      <c r="B598" s="39" t="s">
        <v>109</v>
      </c>
      <c r="C598" s="39" t="s">
        <v>109</v>
      </c>
      <c r="D598" s="39" t="s">
        <v>109</v>
      </c>
      <c r="E598" s="40" t="s">
        <v>109</v>
      </c>
      <c r="F598" s="39" t="s">
        <v>41</v>
      </c>
      <c r="G598" s="39" t="s">
        <v>109</v>
      </c>
      <c r="H598" s="47">
        <v>0</v>
      </c>
      <c r="I598" s="36">
        <f t="shared" si="109"/>
        <v>0</v>
      </c>
      <c r="J598" s="37">
        <f t="shared" si="107"/>
        <v>0</v>
      </c>
      <c r="K598" s="37">
        <f t="shared" si="108"/>
        <v>0</v>
      </c>
      <c r="M598" s="37">
        <f t="shared" si="110"/>
        <v>0</v>
      </c>
      <c r="O598" s="4">
        <f t="shared" si="111"/>
        <v>0</v>
      </c>
      <c r="Q598" s="4">
        <f t="shared" si="112"/>
        <v>0</v>
      </c>
      <c r="S598" s="4">
        <f t="shared" si="113"/>
        <v>0</v>
      </c>
      <c r="U598" s="4">
        <f t="shared" si="116"/>
        <v>0</v>
      </c>
      <c r="W598" s="4">
        <f t="shared" si="114"/>
        <v>0</v>
      </c>
      <c r="Y598" s="4">
        <f t="shared" si="115"/>
        <v>0</v>
      </c>
    </row>
    <row r="599" spans="1:25" hidden="1" outlineLevel="1" x14ac:dyDescent="0.35">
      <c r="A599" s="39" t="s">
        <v>1673</v>
      </c>
      <c r="B599" s="39" t="s">
        <v>109</v>
      </c>
      <c r="C599" s="39" t="s">
        <v>109</v>
      </c>
      <c r="D599" s="39" t="s">
        <v>109</v>
      </c>
      <c r="E599" s="40" t="s">
        <v>109</v>
      </c>
      <c r="F599" s="39" t="s">
        <v>41</v>
      </c>
      <c r="G599" s="39" t="s">
        <v>109</v>
      </c>
      <c r="H599" s="47">
        <v>0</v>
      </c>
      <c r="I599" s="36">
        <f t="shared" si="109"/>
        <v>0</v>
      </c>
      <c r="J599" s="37">
        <f t="shared" si="107"/>
        <v>0</v>
      </c>
      <c r="K599" s="37">
        <f t="shared" si="108"/>
        <v>0</v>
      </c>
      <c r="M599" s="37">
        <f t="shared" si="110"/>
        <v>0</v>
      </c>
      <c r="O599" s="4">
        <f t="shared" si="111"/>
        <v>0</v>
      </c>
      <c r="Q599" s="4">
        <f t="shared" si="112"/>
        <v>0</v>
      </c>
      <c r="S599" s="4">
        <f t="shared" si="113"/>
        <v>0</v>
      </c>
      <c r="U599" s="4">
        <f t="shared" si="116"/>
        <v>0</v>
      </c>
      <c r="W599" s="4">
        <f t="shared" si="114"/>
        <v>0</v>
      </c>
      <c r="Y599" s="4">
        <f t="shared" si="115"/>
        <v>0</v>
      </c>
    </row>
    <row r="600" spans="1:25" hidden="1" outlineLevel="1" x14ac:dyDescent="0.35">
      <c r="A600" s="39" t="s">
        <v>1674</v>
      </c>
      <c r="B600" s="39" t="s">
        <v>109</v>
      </c>
      <c r="C600" s="39" t="s">
        <v>109</v>
      </c>
      <c r="D600" s="39" t="s">
        <v>109</v>
      </c>
      <c r="E600" s="40" t="s">
        <v>109</v>
      </c>
      <c r="F600" s="39" t="s">
        <v>41</v>
      </c>
      <c r="G600" s="39" t="s">
        <v>109</v>
      </c>
      <c r="H600" s="47">
        <v>0</v>
      </c>
      <c r="I600" s="36">
        <f t="shared" si="109"/>
        <v>0</v>
      </c>
      <c r="J600" s="37">
        <f t="shared" si="107"/>
        <v>0</v>
      </c>
      <c r="K600" s="37">
        <f t="shared" si="108"/>
        <v>0</v>
      </c>
      <c r="M600" s="37">
        <f t="shared" si="110"/>
        <v>0</v>
      </c>
      <c r="O600" s="4">
        <f t="shared" si="111"/>
        <v>0</v>
      </c>
      <c r="Q600" s="4">
        <f t="shared" si="112"/>
        <v>0</v>
      </c>
      <c r="S600" s="4">
        <f t="shared" si="113"/>
        <v>0</v>
      </c>
      <c r="U600" s="4">
        <f t="shared" si="116"/>
        <v>0</v>
      </c>
      <c r="W600" s="4">
        <f t="shared" si="114"/>
        <v>0</v>
      </c>
      <c r="Y600" s="4">
        <f t="shared" si="115"/>
        <v>0</v>
      </c>
    </row>
    <row r="601" spans="1:25" hidden="1" outlineLevel="1" x14ac:dyDescent="0.35">
      <c r="A601" s="39" t="s">
        <v>1675</v>
      </c>
      <c r="B601" s="39" t="s">
        <v>109</v>
      </c>
      <c r="C601" s="39" t="s">
        <v>109</v>
      </c>
      <c r="D601" s="39" t="s">
        <v>109</v>
      </c>
      <c r="E601" s="40" t="s">
        <v>109</v>
      </c>
      <c r="F601" s="39" t="s">
        <v>41</v>
      </c>
      <c r="G601" s="39" t="s">
        <v>109</v>
      </c>
      <c r="H601" s="47">
        <v>0</v>
      </c>
      <c r="I601" s="36">
        <f t="shared" si="109"/>
        <v>0</v>
      </c>
      <c r="J601" s="37">
        <f t="shared" si="107"/>
        <v>0</v>
      </c>
      <c r="K601" s="37">
        <f t="shared" si="108"/>
        <v>0</v>
      </c>
      <c r="M601" s="37">
        <f t="shared" si="110"/>
        <v>0</v>
      </c>
      <c r="O601" s="4">
        <f t="shared" si="111"/>
        <v>0</v>
      </c>
      <c r="Q601" s="4">
        <f t="shared" si="112"/>
        <v>0</v>
      </c>
      <c r="S601" s="4">
        <f t="shared" si="113"/>
        <v>0</v>
      </c>
      <c r="U601" s="4">
        <f t="shared" si="116"/>
        <v>0</v>
      </c>
      <c r="W601" s="4">
        <f t="shared" si="114"/>
        <v>0</v>
      </c>
      <c r="Y601" s="4">
        <f t="shared" si="115"/>
        <v>0</v>
      </c>
    </row>
    <row r="602" spans="1:25" hidden="1" outlineLevel="1" x14ac:dyDescent="0.35">
      <c r="A602" s="39" t="s">
        <v>1676</v>
      </c>
      <c r="B602" s="39" t="s">
        <v>109</v>
      </c>
      <c r="C602" s="39" t="s">
        <v>109</v>
      </c>
      <c r="D602" s="39" t="s">
        <v>109</v>
      </c>
      <c r="E602" s="40" t="s">
        <v>109</v>
      </c>
      <c r="F602" s="39" t="s">
        <v>41</v>
      </c>
      <c r="G602" s="39" t="s">
        <v>109</v>
      </c>
      <c r="H602" s="47">
        <v>0</v>
      </c>
      <c r="I602" s="36">
        <f t="shared" si="109"/>
        <v>0</v>
      </c>
      <c r="J602" s="37">
        <f t="shared" si="107"/>
        <v>0</v>
      </c>
      <c r="K602" s="37">
        <f t="shared" si="108"/>
        <v>0</v>
      </c>
      <c r="M602" s="37">
        <f t="shared" si="110"/>
        <v>0</v>
      </c>
      <c r="O602" s="4">
        <f t="shared" si="111"/>
        <v>0</v>
      </c>
      <c r="Q602" s="4">
        <f t="shared" si="112"/>
        <v>0</v>
      </c>
      <c r="S602" s="4">
        <f t="shared" si="113"/>
        <v>0</v>
      </c>
      <c r="U602" s="4">
        <f t="shared" si="116"/>
        <v>0</v>
      </c>
      <c r="W602" s="4">
        <f t="shared" si="114"/>
        <v>0</v>
      </c>
      <c r="Y602" s="4">
        <f t="shared" si="115"/>
        <v>0</v>
      </c>
    </row>
    <row r="603" spans="1:25" hidden="1" outlineLevel="1" x14ac:dyDescent="0.35">
      <c r="A603" s="39" t="s">
        <v>1677</v>
      </c>
      <c r="B603" s="39" t="s">
        <v>109</v>
      </c>
      <c r="C603" s="39" t="s">
        <v>109</v>
      </c>
      <c r="D603" s="39" t="s">
        <v>109</v>
      </c>
      <c r="E603" s="40" t="s">
        <v>109</v>
      </c>
      <c r="F603" s="39" t="s">
        <v>41</v>
      </c>
      <c r="G603" s="39" t="s">
        <v>109</v>
      </c>
      <c r="H603" s="47">
        <v>0</v>
      </c>
      <c r="I603" s="36">
        <f t="shared" si="109"/>
        <v>0</v>
      </c>
      <c r="J603" s="37">
        <f t="shared" si="107"/>
        <v>0</v>
      </c>
      <c r="K603" s="37">
        <f t="shared" si="108"/>
        <v>0</v>
      </c>
      <c r="M603" s="37">
        <f t="shared" si="110"/>
        <v>0</v>
      </c>
      <c r="O603" s="4">
        <f t="shared" si="111"/>
        <v>0</v>
      </c>
      <c r="Q603" s="4">
        <f t="shared" si="112"/>
        <v>0</v>
      </c>
      <c r="S603" s="4">
        <f t="shared" si="113"/>
        <v>0</v>
      </c>
      <c r="U603" s="4">
        <f t="shared" si="116"/>
        <v>0</v>
      </c>
      <c r="W603" s="4">
        <f t="shared" si="114"/>
        <v>0</v>
      </c>
      <c r="Y603" s="4">
        <f t="shared" si="115"/>
        <v>0</v>
      </c>
    </row>
    <row r="604" spans="1:25" hidden="1" outlineLevel="1" x14ac:dyDescent="0.35">
      <c r="A604" s="39" t="s">
        <v>1678</v>
      </c>
      <c r="B604" s="39" t="s">
        <v>109</v>
      </c>
      <c r="C604" s="39" t="s">
        <v>109</v>
      </c>
      <c r="D604" s="39" t="s">
        <v>109</v>
      </c>
      <c r="E604" s="40" t="s">
        <v>109</v>
      </c>
      <c r="F604" s="39" t="s">
        <v>41</v>
      </c>
      <c r="G604" s="39" t="s">
        <v>109</v>
      </c>
      <c r="H604" s="47">
        <v>0</v>
      </c>
      <c r="I604" s="36">
        <f t="shared" si="109"/>
        <v>0</v>
      </c>
      <c r="J604" s="37">
        <f t="shared" si="107"/>
        <v>0</v>
      </c>
      <c r="K604" s="37">
        <f t="shared" si="108"/>
        <v>0</v>
      </c>
      <c r="M604" s="37">
        <f t="shared" si="110"/>
        <v>0</v>
      </c>
      <c r="O604" s="4">
        <f t="shared" si="111"/>
        <v>0</v>
      </c>
      <c r="Q604" s="4">
        <f t="shared" si="112"/>
        <v>0</v>
      </c>
      <c r="S604" s="4">
        <f t="shared" si="113"/>
        <v>0</v>
      </c>
      <c r="U604" s="4">
        <f t="shared" si="116"/>
        <v>0</v>
      </c>
      <c r="W604" s="4">
        <f t="shared" si="114"/>
        <v>0</v>
      </c>
      <c r="Y604" s="4">
        <f t="shared" si="115"/>
        <v>0</v>
      </c>
    </row>
    <row r="605" spans="1:25" hidden="1" outlineLevel="1" x14ac:dyDescent="0.35">
      <c r="A605" s="39" t="s">
        <v>1679</v>
      </c>
      <c r="B605" s="39" t="s">
        <v>109</v>
      </c>
      <c r="C605" s="39" t="s">
        <v>109</v>
      </c>
      <c r="D605" s="39" t="s">
        <v>109</v>
      </c>
      <c r="E605" s="40" t="s">
        <v>109</v>
      </c>
      <c r="F605" s="39" t="s">
        <v>101</v>
      </c>
      <c r="G605" s="39" t="s">
        <v>109</v>
      </c>
      <c r="H605" s="47">
        <v>0</v>
      </c>
      <c r="I605" s="36">
        <f t="shared" si="109"/>
        <v>0</v>
      </c>
      <c r="J605" s="37">
        <f t="shared" si="107"/>
        <v>0</v>
      </c>
      <c r="K605" s="37">
        <f t="shared" si="108"/>
        <v>0</v>
      </c>
      <c r="M605" s="37">
        <f t="shared" si="110"/>
        <v>0</v>
      </c>
      <c r="O605" s="4">
        <f t="shared" si="111"/>
        <v>0</v>
      </c>
      <c r="Q605" s="4">
        <f t="shared" si="112"/>
        <v>0</v>
      </c>
      <c r="S605" s="4">
        <f t="shared" si="113"/>
        <v>0</v>
      </c>
      <c r="U605" s="4">
        <f t="shared" si="116"/>
        <v>0</v>
      </c>
      <c r="W605" s="4">
        <f t="shared" si="114"/>
        <v>0</v>
      </c>
      <c r="Y605" s="4">
        <f t="shared" si="115"/>
        <v>0</v>
      </c>
    </row>
    <row r="606" spans="1:25" hidden="1" outlineLevel="1" x14ac:dyDescent="0.35">
      <c r="A606" s="39" t="s">
        <v>1680</v>
      </c>
      <c r="B606" s="39" t="s">
        <v>109</v>
      </c>
      <c r="C606" s="39" t="s">
        <v>109</v>
      </c>
      <c r="D606" s="39" t="s">
        <v>109</v>
      </c>
      <c r="E606" s="40" t="s">
        <v>109</v>
      </c>
      <c r="F606" s="39" t="s">
        <v>41</v>
      </c>
      <c r="G606" s="39" t="s">
        <v>109</v>
      </c>
      <c r="H606" s="47">
        <v>0</v>
      </c>
      <c r="I606" s="36">
        <f t="shared" si="109"/>
        <v>0</v>
      </c>
      <c r="J606" s="37">
        <f t="shared" si="107"/>
        <v>0</v>
      </c>
      <c r="K606" s="37">
        <f t="shared" si="108"/>
        <v>0</v>
      </c>
      <c r="M606" s="37">
        <f t="shared" si="110"/>
        <v>0</v>
      </c>
      <c r="O606" s="4">
        <f t="shared" si="111"/>
        <v>0</v>
      </c>
      <c r="Q606" s="4">
        <f t="shared" si="112"/>
        <v>0</v>
      </c>
      <c r="S606" s="4">
        <f t="shared" si="113"/>
        <v>0</v>
      </c>
      <c r="U606" s="4">
        <f t="shared" si="116"/>
        <v>0</v>
      </c>
      <c r="W606" s="4">
        <f t="shared" si="114"/>
        <v>0</v>
      </c>
      <c r="Y606" s="4">
        <f t="shared" si="115"/>
        <v>0</v>
      </c>
    </row>
    <row r="607" spans="1:25" hidden="1" outlineLevel="1" x14ac:dyDescent="0.35">
      <c r="A607" s="39" t="s">
        <v>1681</v>
      </c>
      <c r="B607" s="39" t="s">
        <v>109</v>
      </c>
      <c r="C607" s="39" t="s">
        <v>109</v>
      </c>
      <c r="D607" s="39" t="s">
        <v>109</v>
      </c>
      <c r="E607" s="40" t="s">
        <v>109</v>
      </c>
      <c r="F607" s="39" t="s">
        <v>41</v>
      </c>
      <c r="G607" s="39" t="s">
        <v>109</v>
      </c>
      <c r="H607" s="47">
        <v>0</v>
      </c>
      <c r="I607" s="36">
        <f t="shared" si="109"/>
        <v>0</v>
      </c>
      <c r="J607" s="37">
        <f t="shared" si="107"/>
        <v>0</v>
      </c>
      <c r="K607" s="37">
        <f t="shared" si="108"/>
        <v>0</v>
      </c>
      <c r="M607" s="37">
        <f t="shared" si="110"/>
        <v>0</v>
      </c>
      <c r="O607" s="4">
        <f t="shared" si="111"/>
        <v>0</v>
      </c>
      <c r="Q607" s="4">
        <f t="shared" si="112"/>
        <v>0</v>
      </c>
      <c r="S607" s="4">
        <f t="shared" si="113"/>
        <v>0</v>
      </c>
      <c r="U607" s="4">
        <f t="shared" si="116"/>
        <v>0</v>
      </c>
      <c r="W607" s="4">
        <f t="shared" si="114"/>
        <v>0</v>
      </c>
      <c r="Y607" s="4">
        <f t="shared" si="115"/>
        <v>0</v>
      </c>
    </row>
    <row r="608" spans="1:25" hidden="1" outlineLevel="1" x14ac:dyDescent="0.35">
      <c r="A608" s="39" t="s">
        <v>1682</v>
      </c>
      <c r="B608" s="39" t="s">
        <v>109</v>
      </c>
      <c r="C608" s="39" t="s">
        <v>109</v>
      </c>
      <c r="D608" s="39" t="s">
        <v>109</v>
      </c>
      <c r="E608" s="40" t="s">
        <v>109</v>
      </c>
      <c r="F608" s="39" t="s">
        <v>41</v>
      </c>
      <c r="G608" s="39" t="s">
        <v>109</v>
      </c>
      <c r="H608" s="47">
        <v>0</v>
      </c>
      <c r="I608" s="36">
        <f t="shared" si="109"/>
        <v>0</v>
      </c>
      <c r="J608" s="37">
        <f t="shared" si="107"/>
        <v>0</v>
      </c>
      <c r="K608" s="37">
        <f t="shared" si="108"/>
        <v>0</v>
      </c>
      <c r="M608" s="37">
        <f t="shared" si="110"/>
        <v>0</v>
      </c>
      <c r="O608" s="4">
        <f t="shared" si="111"/>
        <v>0</v>
      </c>
      <c r="Q608" s="4">
        <f t="shared" si="112"/>
        <v>0</v>
      </c>
      <c r="S608" s="4">
        <f t="shared" si="113"/>
        <v>0</v>
      </c>
      <c r="U608" s="4">
        <f t="shared" si="116"/>
        <v>0</v>
      </c>
      <c r="W608" s="4">
        <f t="shared" si="114"/>
        <v>0</v>
      </c>
      <c r="Y608" s="4">
        <f t="shared" si="115"/>
        <v>0</v>
      </c>
    </row>
    <row r="609" spans="1:25" hidden="1" outlineLevel="1" x14ac:dyDescent="0.35">
      <c r="A609" s="39" t="s">
        <v>1683</v>
      </c>
      <c r="B609" s="39" t="s">
        <v>109</v>
      </c>
      <c r="C609" s="39" t="s">
        <v>109</v>
      </c>
      <c r="D609" s="39" t="s">
        <v>109</v>
      </c>
      <c r="E609" s="40" t="s">
        <v>109</v>
      </c>
      <c r="F609" s="39" t="s">
        <v>41</v>
      </c>
      <c r="G609" s="39" t="s">
        <v>109</v>
      </c>
      <c r="H609" s="47">
        <v>0</v>
      </c>
      <c r="I609" s="36">
        <f t="shared" si="109"/>
        <v>0</v>
      </c>
      <c r="J609" s="37">
        <f t="shared" si="107"/>
        <v>0</v>
      </c>
      <c r="K609" s="37">
        <f t="shared" si="108"/>
        <v>0</v>
      </c>
      <c r="M609" s="37">
        <f t="shared" si="110"/>
        <v>0</v>
      </c>
      <c r="O609" s="4">
        <f t="shared" si="111"/>
        <v>0</v>
      </c>
      <c r="Q609" s="4">
        <f t="shared" si="112"/>
        <v>0</v>
      </c>
      <c r="S609" s="4">
        <f t="shared" si="113"/>
        <v>0</v>
      </c>
      <c r="U609" s="4">
        <f t="shared" si="116"/>
        <v>0</v>
      </c>
      <c r="W609" s="4">
        <f t="shared" si="114"/>
        <v>0</v>
      </c>
      <c r="Y609" s="4">
        <f t="shared" si="115"/>
        <v>0</v>
      </c>
    </row>
    <row r="610" spans="1:25" hidden="1" outlineLevel="1" x14ac:dyDescent="0.35">
      <c r="A610" s="39" t="s">
        <v>1684</v>
      </c>
      <c r="B610" s="39" t="s">
        <v>109</v>
      </c>
      <c r="C610" s="39" t="s">
        <v>109</v>
      </c>
      <c r="D610" s="39" t="s">
        <v>109</v>
      </c>
      <c r="E610" s="40" t="s">
        <v>109</v>
      </c>
      <c r="F610" s="39" t="s">
        <v>41</v>
      </c>
      <c r="G610" s="39" t="s">
        <v>109</v>
      </c>
      <c r="H610" s="47">
        <v>0</v>
      </c>
      <c r="I610" s="36">
        <f t="shared" si="109"/>
        <v>0</v>
      </c>
      <c r="J610" s="37">
        <f t="shared" si="107"/>
        <v>0</v>
      </c>
      <c r="K610" s="37">
        <f t="shared" si="108"/>
        <v>0</v>
      </c>
      <c r="M610" s="37">
        <f t="shared" si="110"/>
        <v>0</v>
      </c>
      <c r="O610" s="4">
        <f t="shared" si="111"/>
        <v>0</v>
      </c>
      <c r="Q610" s="4">
        <f t="shared" si="112"/>
        <v>0</v>
      </c>
      <c r="S610" s="4">
        <f t="shared" si="113"/>
        <v>0</v>
      </c>
      <c r="U610" s="4">
        <f t="shared" si="116"/>
        <v>0</v>
      </c>
      <c r="W610" s="4">
        <f t="shared" si="114"/>
        <v>0</v>
      </c>
      <c r="Y610" s="4">
        <f t="shared" si="115"/>
        <v>0</v>
      </c>
    </row>
    <row r="611" spans="1:25" hidden="1" outlineLevel="1" x14ac:dyDescent="0.35">
      <c r="A611" s="39" t="s">
        <v>1685</v>
      </c>
      <c r="B611" s="39" t="s">
        <v>109</v>
      </c>
      <c r="C611" s="39" t="s">
        <v>109</v>
      </c>
      <c r="D611" s="39" t="s">
        <v>109</v>
      </c>
      <c r="E611" s="40" t="s">
        <v>109</v>
      </c>
      <c r="F611" s="39" t="s">
        <v>41</v>
      </c>
      <c r="G611" s="39" t="s">
        <v>109</v>
      </c>
      <c r="H611" s="47">
        <v>0</v>
      </c>
      <c r="I611" s="36">
        <f t="shared" si="109"/>
        <v>0</v>
      </c>
      <c r="J611" s="37">
        <f t="shared" si="107"/>
        <v>0</v>
      </c>
      <c r="K611" s="37">
        <f t="shared" si="108"/>
        <v>0</v>
      </c>
      <c r="M611" s="37">
        <f t="shared" si="110"/>
        <v>0</v>
      </c>
      <c r="O611" s="4">
        <f t="shared" si="111"/>
        <v>0</v>
      </c>
      <c r="Q611" s="4">
        <f t="shared" si="112"/>
        <v>0</v>
      </c>
      <c r="S611" s="4">
        <f t="shared" si="113"/>
        <v>0</v>
      </c>
      <c r="U611" s="4">
        <f t="shared" si="116"/>
        <v>0</v>
      </c>
      <c r="W611" s="4">
        <f t="shared" si="114"/>
        <v>0</v>
      </c>
      <c r="Y611" s="4">
        <f t="shared" si="115"/>
        <v>0</v>
      </c>
    </row>
    <row r="612" spans="1:25" hidden="1" outlineLevel="1" x14ac:dyDescent="0.35">
      <c r="A612" s="39" t="s">
        <v>1686</v>
      </c>
      <c r="B612" s="39" t="s">
        <v>109</v>
      </c>
      <c r="C612" s="39" t="s">
        <v>109</v>
      </c>
      <c r="D612" s="39" t="s">
        <v>109</v>
      </c>
      <c r="E612" s="40" t="s">
        <v>109</v>
      </c>
      <c r="F612" s="39" t="s">
        <v>41</v>
      </c>
      <c r="G612" s="39" t="s">
        <v>109</v>
      </c>
      <c r="H612" s="47">
        <v>0</v>
      </c>
      <c r="I612" s="36">
        <f t="shared" si="109"/>
        <v>0</v>
      </c>
      <c r="J612" s="37">
        <f t="shared" si="107"/>
        <v>0</v>
      </c>
      <c r="K612" s="37">
        <f t="shared" si="108"/>
        <v>0</v>
      </c>
      <c r="M612" s="37">
        <f t="shared" si="110"/>
        <v>0</v>
      </c>
      <c r="O612" s="4">
        <f t="shared" si="111"/>
        <v>0</v>
      </c>
      <c r="Q612" s="4">
        <f t="shared" si="112"/>
        <v>0</v>
      </c>
      <c r="S612" s="4">
        <f t="shared" si="113"/>
        <v>0</v>
      </c>
      <c r="U612" s="4">
        <f t="shared" si="116"/>
        <v>0</v>
      </c>
      <c r="W612" s="4">
        <f t="shared" si="114"/>
        <v>0</v>
      </c>
      <c r="Y612" s="4">
        <f t="shared" si="115"/>
        <v>0</v>
      </c>
    </row>
    <row r="613" spans="1:25" hidden="1" outlineLevel="1" x14ac:dyDescent="0.35">
      <c r="A613" s="39" t="s">
        <v>1687</v>
      </c>
      <c r="B613" s="39" t="s">
        <v>109</v>
      </c>
      <c r="C613" s="39" t="s">
        <v>109</v>
      </c>
      <c r="D613" s="39" t="s">
        <v>109</v>
      </c>
      <c r="E613" s="40" t="s">
        <v>109</v>
      </c>
      <c r="F613" s="39" t="s">
        <v>41</v>
      </c>
      <c r="G613" s="39" t="s">
        <v>109</v>
      </c>
      <c r="H613" s="47">
        <v>0</v>
      </c>
      <c r="I613" s="36">
        <f t="shared" si="109"/>
        <v>0</v>
      </c>
      <c r="J613" s="37">
        <f t="shared" si="107"/>
        <v>0</v>
      </c>
      <c r="K613" s="37">
        <f t="shared" si="108"/>
        <v>0</v>
      </c>
      <c r="M613" s="37">
        <f t="shared" si="110"/>
        <v>0</v>
      </c>
      <c r="O613" s="4">
        <f t="shared" si="111"/>
        <v>0</v>
      </c>
      <c r="Q613" s="4">
        <f t="shared" si="112"/>
        <v>0</v>
      </c>
      <c r="S613" s="4">
        <f t="shared" si="113"/>
        <v>0</v>
      </c>
      <c r="U613" s="4">
        <f t="shared" si="116"/>
        <v>0</v>
      </c>
      <c r="W613" s="4">
        <f t="shared" si="114"/>
        <v>0</v>
      </c>
      <c r="Y613" s="4">
        <f t="shared" si="115"/>
        <v>0</v>
      </c>
    </row>
    <row r="614" spans="1:25" hidden="1" outlineLevel="1" x14ac:dyDescent="0.35">
      <c r="A614" s="39" t="s">
        <v>1688</v>
      </c>
      <c r="B614" s="39" t="s">
        <v>109</v>
      </c>
      <c r="C614" s="39" t="s">
        <v>109</v>
      </c>
      <c r="D614" s="39" t="s">
        <v>109</v>
      </c>
      <c r="E614" s="40" t="s">
        <v>109</v>
      </c>
      <c r="F614" s="39" t="s">
        <v>41</v>
      </c>
      <c r="G614" s="39" t="s">
        <v>109</v>
      </c>
      <c r="H614" s="47">
        <v>0</v>
      </c>
      <c r="I614" s="36">
        <f t="shared" si="109"/>
        <v>0</v>
      </c>
      <c r="J614" s="37">
        <f t="shared" si="107"/>
        <v>0</v>
      </c>
      <c r="K614" s="37">
        <f t="shared" si="108"/>
        <v>0</v>
      </c>
      <c r="M614" s="37">
        <f t="shared" si="110"/>
        <v>0</v>
      </c>
      <c r="O614" s="4">
        <f t="shared" si="111"/>
        <v>0</v>
      </c>
      <c r="Q614" s="4">
        <f t="shared" si="112"/>
        <v>0</v>
      </c>
      <c r="S614" s="4">
        <f t="shared" si="113"/>
        <v>0</v>
      </c>
      <c r="U614" s="4">
        <f t="shared" si="116"/>
        <v>0</v>
      </c>
      <c r="W614" s="4">
        <f t="shared" si="114"/>
        <v>0</v>
      </c>
      <c r="Y614" s="4">
        <f t="shared" si="115"/>
        <v>0</v>
      </c>
    </row>
    <row r="615" spans="1:25" hidden="1" outlineLevel="1" x14ac:dyDescent="0.35">
      <c r="A615" s="39" t="s">
        <v>1689</v>
      </c>
      <c r="B615" s="39" t="s">
        <v>109</v>
      </c>
      <c r="C615" s="39" t="s">
        <v>109</v>
      </c>
      <c r="D615" s="39" t="s">
        <v>109</v>
      </c>
      <c r="E615" s="40" t="s">
        <v>109</v>
      </c>
      <c r="F615" s="39" t="s">
        <v>41</v>
      </c>
      <c r="G615" s="39" t="s">
        <v>109</v>
      </c>
      <c r="H615" s="47">
        <v>0</v>
      </c>
      <c r="I615" s="36">
        <f t="shared" si="109"/>
        <v>0</v>
      </c>
      <c r="J615" s="37">
        <f t="shared" si="107"/>
        <v>0</v>
      </c>
      <c r="K615" s="37">
        <f t="shared" si="108"/>
        <v>0</v>
      </c>
      <c r="M615" s="37">
        <f t="shared" si="110"/>
        <v>0</v>
      </c>
      <c r="O615" s="4">
        <f t="shared" si="111"/>
        <v>0</v>
      </c>
      <c r="Q615" s="4">
        <f t="shared" si="112"/>
        <v>0</v>
      </c>
      <c r="S615" s="4">
        <f t="shared" si="113"/>
        <v>0</v>
      </c>
      <c r="U615" s="4">
        <f t="shared" si="116"/>
        <v>0</v>
      </c>
      <c r="W615" s="4">
        <f t="shared" si="114"/>
        <v>0</v>
      </c>
      <c r="Y615" s="4">
        <f t="shared" si="115"/>
        <v>0</v>
      </c>
    </row>
    <row r="616" spans="1:25" hidden="1" outlineLevel="1" x14ac:dyDescent="0.35">
      <c r="A616" s="39" t="s">
        <v>1690</v>
      </c>
      <c r="B616" s="39" t="s">
        <v>109</v>
      </c>
      <c r="C616" s="39" t="s">
        <v>109</v>
      </c>
      <c r="D616" s="39" t="s">
        <v>109</v>
      </c>
      <c r="E616" s="40" t="s">
        <v>109</v>
      </c>
      <c r="F616" s="39" t="s">
        <v>41</v>
      </c>
      <c r="G616" s="39" t="s">
        <v>109</v>
      </c>
      <c r="H616" s="47">
        <v>0</v>
      </c>
      <c r="I616" s="36">
        <f t="shared" si="109"/>
        <v>0</v>
      </c>
      <c r="J616" s="37">
        <f t="shared" si="107"/>
        <v>0</v>
      </c>
      <c r="K616" s="37">
        <f t="shared" si="108"/>
        <v>0</v>
      </c>
      <c r="M616" s="37">
        <f t="shared" si="110"/>
        <v>0</v>
      </c>
      <c r="O616" s="4">
        <f t="shared" si="111"/>
        <v>0</v>
      </c>
      <c r="Q616" s="4">
        <f t="shared" si="112"/>
        <v>0</v>
      </c>
      <c r="S616" s="4">
        <f t="shared" si="113"/>
        <v>0</v>
      </c>
      <c r="U616" s="4">
        <f t="shared" si="116"/>
        <v>0</v>
      </c>
      <c r="W616" s="4">
        <f t="shared" si="114"/>
        <v>0</v>
      </c>
      <c r="Y616" s="4">
        <f t="shared" si="115"/>
        <v>0</v>
      </c>
    </row>
    <row r="617" spans="1:25" hidden="1" outlineLevel="1" x14ac:dyDescent="0.35">
      <c r="A617" s="39" t="s">
        <v>1691</v>
      </c>
      <c r="B617" s="39" t="s">
        <v>109</v>
      </c>
      <c r="C617" s="39" t="s">
        <v>109</v>
      </c>
      <c r="D617" s="39" t="s">
        <v>109</v>
      </c>
      <c r="E617" s="40" t="s">
        <v>109</v>
      </c>
      <c r="F617" s="39" t="s">
        <v>41</v>
      </c>
      <c r="G617" s="39" t="s">
        <v>109</v>
      </c>
      <c r="H617" s="47">
        <v>0</v>
      </c>
      <c r="I617" s="36">
        <f t="shared" si="109"/>
        <v>0</v>
      </c>
      <c r="J617" s="37">
        <f t="shared" si="107"/>
        <v>0</v>
      </c>
      <c r="K617" s="37">
        <f t="shared" si="108"/>
        <v>0</v>
      </c>
      <c r="M617" s="37">
        <f t="shared" si="110"/>
        <v>0</v>
      </c>
      <c r="O617" s="4">
        <f t="shared" si="111"/>
        <v>0</v>
      </c>
      <c r="Q617" s="4">
        <f t="shared" si="112"/>
        <v>0</v>
      </c>
      <c r="S617" s="4">
        <f t="shared" si="113"/>
        <v>0</v>
      </c>
      <c r="U617" s="4">
        <f t="shared" si="116"/>
        <v>0</v>
      </c>
      <c r="W617" s="4">
        <f t="shared" si="114"/>
        <v>0</v>
      </c>
      <c r="Y617" s="4">
        <f t="shared" si="115"/>
        <v>0</v>
      </c>
    </row>
    <row r="618" spans="1:25" hidden="1" outlineLevel="1" x14ac:dyDescent="0.35">
      <c r="A618" s="39" t="s">
        <v>1692</v>
      </c>
      <c r="B618" s="39" t="s">
        <v>109</v>
      </c>
      <c r="C618" s="39" t="s">
        <v>109</v>
      </c>
      <c r="D618" s="39" t="s">
        <v>109</v>
      </c>
      <c r="E618" s="40" t="s">
        <v>109</v>
      </c>
      <c r="F618" s="39" t="s">
        <v>41</v>
      </c>
      <c r="G618" s="39" t="s">
        <v>109</v>
      </c>
      <c r="H618" s="47">
        <v>0</v>
      </c>
      <c r="I618" s="36">
        <f t="shared" si="109"/>
        <v>0</v>
      </c>
      <c r="J618" s="37">
        <f t="shared" si="107"/>
        <v>0</v>
      </c>
      <c r="K618" s="37">
        <f t="shared" si="108"/>
        <v>0</v>
      </c>
      <c r="M618" s="37">
        <f t="shared" si="110"/>
        <v>0</v>
      </c>
      <c r="O618" s="4">
        <f t="shared" si="111"/>
        <v>0</v>
      </c>
      <c r="Q618" s="4">
        <f t="shared" si="112"/>
        <v>0</v>
      </c>
      <c r="S618" s="4">
        <f t="shared" si="113"/>
        <v>0</v>
      </c>
      <c r="U618" s="4">
        <f t="shared" si="116"/>
        <v>0</v>
      </c>
      <c r="W618" s="4">
        <f t="shared" si="114"/>
        <v>0</v>
      </c>
      <c r="Y618" s="4">
        <f t="shared" si="115"/>
        <v>0</v>
      </c>
    </row>
    <row r="619" spans="1:25" hidden="1" outlineLevel="1" x14ac:dyDescent="0.35">
      <c r="A619" s="39" t="s">
        <v>1693</v>
      </c>
      <c r="B619" s="39" t="s">
        <v>109</v>
      </c>
      <c r="C619" s="39" t="s">
        <v>109</v>
      </c>
      <c r="D619" s="39" t="s">
        <v>109</v>
      </c>
      <c r="E619" s="40" t="s">
        <v>109</v>
      </c>
      <c r="F619" s="39" t="s">
        <v>41</v>
      </c>
      <c r="G619" s="39" t="s">
        <v>109</v>
      </c>
      <c r="H619" s="47">
        <v>0</v>
      </c>
      <c r="I619" s="36">
        <f t="shared" si="109"/>
        <v>0</v>
      </c>
      <c r="J619" s="37">
        <f t="shared" si="107"/>
        <v>0</v>
      </c>
      <c r="K619" s="37">
        <f t="shared" si="108"/>
        <v>0</v>
      </c>
      <c r="M619" s="37">
        <f t="shared" si="110"/>
        <v>0</v>
      </c>
      <c r="O619" s="4">
        <f t="shared" si="111"/>
        <v>0</v>
      </c>
      <c r="Q619" s="4">
        <f t="shared" si="112"/>
        <v>0</v>
      </c>
      <c r="S619" s="4">
        <f t="shared" si="113"/>
        <v>0</v>
      </c>
      <c r="U619" s="4">
        <f t="shared" si="116"/>
        <v>0</v>
      </c>
      <c r="W619" s="4">
        <f t="shared" si="114"/>
        <v>0</v>
      </c>
      <c r="Y619" s="4">
        <f t="shared" si="115"/>
        <v>0</v>
      </c>
    </row>
    <row r="620" spans="1:25" hidden="1" outlineLevel="1" x14ac:dyDescent="0.35">
      <c r="A620" s="39" t="s">
        <v>1694</v>
      </c>
      <c r="B620" s="39" t="s">
        <v>109</v>
      </c>
      <c r="C620" s="39" t="s">
        <v>109</v>
      </c>
      <c r="D620" s="39" t="s">
        <v>109</v>
      </c>
      <c r="E620" s="40" t="s">
        <v>109</v>
      </c>
      <c r="F620" s="39" t="s">
        <v>41</v>
      </c>
      <c r="G620" s="39" t="s">
        <v>109</v>
      </c>
      <c r="H620" s="47">
        <v>0</v>
      </c>
      <c r="I620" s="36">
        <f t="shared" si="109"/>
        <v>0</v>
      </c>
      <c r="J620" s="37">
        <f t="shared" ref="J620:J683" si="117">H620*$F$7</f>
        <v>0</v>
      </c>
      <c r="K620" s="37">
        <f t="shared" ref="K620:K683" si="118">H620*$G$7</f>
        <v>0</v>
      </c>
      <c r="M620" s="37">
        <f t="shared" si="110"/>
        <v>0</v>
      </c>
      <c r="O620" s="4">
        <f t="shared" si="111"/>
        <v>0</v>
      </c>
      <c r="Q620" s="4">
        <f t="shared" si="112"/>
        <v>0</v>
      </c>
      <c r="S620" s="4">
        <f t="shared" si="113"/>
        <v>0</v>
      </c>
      <c r="U620" s="4">
        <f t="shared" si="116"/>
        <v>0</v>
      </c>
      <c r="W620" s="4">
        <f t="shared" si="114"/>
        <v>0</v>
      </c>
      <c r="Y620" s="4">
        <f t="shared" si="115"/>
        <v>0</v>
      </c>
    </row>
    <row r="621" spans="1:25" hidden="1" outlineLevel="1" x14ac:dyDescent="0.35">
      <c r="A621" s="39" t="s">
        <v>1695</v>
      </c>
      <c r="B621" s="39" t="s">
        <v>109</v>
      </c>
      <c r="C621" s="39" t="s">
        <v>109</v>
      </c>
      <c r="D621" s="39" t="s">
        <v>109</v>
      </c>
      <c r="E621" s="40" t="s">
        <v>109</v>
      </c>
      <c r="F621" s="39" t="s">
        <v>41</v>
      </c>
      <c r="G621" s="39" t="s">
        <v>109</v>
      </c>
      <c r="H621" s="47">
        <v>0</v>
      </c>
      <c r="I621" s="36">
        <f t="shared" ref="I621:I684" si="119">$E$7*H621</f>
        <v>0</v>
      </c>
      <c r="J621" s="37">
        <f t="shared" si="117"/>
        <v>0</v>
      </c>
      <c r="K621" s="37">
        <f t="shared" si="118"/>
        <v>0</v>
      </c>
      <c r="M621" s="37">
        <f t="shared" ref="M621:M684" si="120">0.5*(AVERAGE(J621:K621))</f>
        <v>0</v>
      </c>
      <c r="O621" s="4">
        <f t="shared" ref="O621:O684" si="121">I621*$E$3</f>
        <v>0</v>
      </c>
      <c r="Q621" s="4">
        <f t="shared" ref="Q621:Q684" si="122">I621*$E$3/12</f>
        <v>0</v>
      </c>
      <c r="S621" s="4">
        <f t="shared" ref="S621:S684" si="123">Q621*$E$4</f>
        <v>0</v>
      </c>
      <c r="U621" s="4">
        <f t="shared" si="116"/>
        <v>0</v>
      </c>
      <c r="W621" s="4">
        <f t="shared" ref="W621:W684" si="124">S621*$E$5</f>
        <v>0</v>
      </c>
      <c r="Y621" s="4">
        <f t="shared" ref="Y621:Y684" si="125">M621*$E$6</f>
        <v>0</v>
      </c>
    </row>
    <row r="622" spans="1:25" hidden="1" outlineLevel="1" x14ac:dyDescent="0.35">
      <c r="A622" s="39" t="s">
        <v>1696</v>
      </c>
      <c r="B622" s="39" t="s">
        <v>109</v>
      </c>
      <c r="C622" s="39" t="s">
        <v>109</v>
      </c>
      <c r="D622" s="39" t="s">
        <v>109</v>
      </c>
      <c r="E622" s="40" t="s">
        <v>109</v>
      </c>
      <c r="F622" s="39" t="s">
        <v>41</v>
      </c>
      <c r="G622" s="39" t="s">
        <v>109</v>
      </c>
      <c r="H622" s="47">
        <v>0</v>
      </c>
      <c r="I622" s="36">
        <f t="shared" si="119"/>
        <v>0</v>
      </c>
      <c r="J622" s="37">
        <f t="shared" si="117"/>
        <v>0</v>
      </c>
      <c r="K622" s="37">
        <f t="shared" si="118"/>
        <v>0</v>
      </c>
      <c r="M622" s="37">
        <f t="shared" si="120"/>
        <v>0</v>
      </c>
      <c r="O622" s="4">
        <f t="shared" si="121"/>
        <v>0</v>
      </c>
      <c r="Q622" s="4">
        <f t="shared" si="122"/>
        <v>0</v>
      </c>
      <c r="S622" s="4">
        <f t="shared" si="123"/>
        <v>0</v>
      </c>
      <c r="U622" s="4">
        <f t="shared" ref="U622:U685" si="126">W622*12</f>
        <v>0</v>
      </c>
      <c r="W622" s="4">
        <f t="shared" si="124"/>
        <v>0</v>
      </c>
      <c r="Y622" s="4">
        <f t="shared" si="125"/>
        <v>0</v>
      </c>
    </row>
    <row r="623" spans="1:25" hidden="1" outlineLevel="1" x14ac:dyDescent="0.35">
      <c r="A623" s="39" t="s">
        <v>1697</v>
      </c>
      <c r="B623" s="39" t="s">
        <v>109</v>
      </c>
      <c r="C623" s="39" t="s">
        <v>109</v>
      </c>
      <c r="D623" s="39" t="s">
        <v>109</v>
      </c>
      <c r="E623" s="40" t="s">
        <v>109</v>
      </c>
      <c r="F623" s="39" t="s">
        <v>41</v>
      </c>
      <c r="G623" s="39" t="s">
        <v>109</v>
      </c>
      <c r="H623" s="47">
        <v>0</v>
      </c>
      <c r="I623" s="36">
        <f t="shared" si="119"/>
        <v>0</v>
      </c>
      <c r="J623" s="37">
        <f t="shared" si="117"/>
        <v>0</v>
      </c>
      <c r="K623" s="37">
        <f t="shared" si="118"/>
        <v>0</v>
      </c>
      <c r="M623" s="37">
        <f t="shared" si="120"/>
        <v>0</v>
      </c>
      <c r="O623" s="4">
        <f t="shared" si="121"/>
        <v>0</v>
      </c>
      <c r="Q623" s="4">
        <f t="shared" si="122"/>
        <v>0</v>
      </c>
      <c r="S623" s="4">
        <f t="shared" si="123"/>
        <v>0</v>
      </c>
      <c r="U623" s="4">
        <f t="shared" si="126"/>
        <v>0</v>
      </c>
      <c r="W623" s="4">
        <f t="shared" si="124"/>
        <v>0</v>
      </c>
      <c r="Y623" s="4">
        <f t="shared" si="125"/>
        <v>0</v>
      </c>
    </row>
    <row r="624" spans="1:25" hidden="1" outlineLevel="1" x14ac:dyDescent="0.35">
      <c r="A624" s="39" t="s">
        <v>1698</v>
      </c>
      <c r="B624" s="39" t="s">
        <v>109</v>
      </c>
      <c r="C624" s="39" t="s">
        <v>109</v>
      </c>
      <c r="D624" s="39" t="s">
        <v>109</v>
      </c>
      <c r="E624" s="40" t="s">
        <v>109</v>
      </c>
      <c r="F624" s="39" t="s">
        <v>41</v>
      </c>
      <c r="G624" s="39" t="s">
        <v>109</v>
      </c>
      <c r="H624" s="47">
        <v>0</v>
      </c>
      <c r="I624" s="36">
        <f t="shared" si="119"/>
        <v>0</v>
      </c>
      <c r="J624" s="37">
        <f t="shared" si="117"/>
        <v>0</v>
      </c>
      <c r="K624" s="37">
        <f t="shared" si="118"/>
        <v>0</v>
      </c>
      <c r="M624" s="37">
        <f t="shared" si="120"/>
        <v>0</v>
      </c>
      <c r="O624" s="4">
        <f t="shared" si="121"/>
        <v>0</v>
      </c>
      <c r="Q624" s="4">
        <f t="shared" si="122"/>
        <v>0</v>
      </c>
      <c r="S624" s="4">
        <f t="shared" si="123"/>
        <v>0</v>
      </c>
      <c r="U624" s="4">
        <f t="shared" si="126"/>
        <v>0</v>
      </c>
      <c r="W624" s="4">
        <f t="shared" si="124"/>
        <v>0</v>
      </c>
      <c r="Y624" s="4">
        <f t="shared" si="125"/>
        <v>0</v>
      </c>
    </row>
    <row r="625" spans="1:25" hidden="1" outlineLevel="1" x14ac:dyDescent="0.35">
      <c r="A625" s="39" t="s">
        <v>1699</v>
      </c>
      <c r="B625" s="39" t="s">
        <v>109</v>
      </c>
      <c r="C625" s="39" t="s">
        <v>109</v>
      </c>
      <c r="D625" s="39" t="s">
        <v>109</v>
      </c>
      <c r="E625" s="40" t="s">
        <v>109</v>
      </c>
      <c r="F625" s="39" t="s">
        <v>41</v>
      </c>
      <c r="G625" s="39" t="s">
        <v>109</v>
      </c>
      <c r="H625" s="47">
        <v>0</v>
      </c>
      <c r="I625" s="36">
        <f t="shared" si="119"/>
        <v>0</v>
      </c>
      <c r="J625" s="37">
        <f t="shared" si="117"/>
        <v>0</v>
      </c>
      <c r="K625" s="37">
        <f t="shared" si="118"/>
        <v>0</v>
      </c>
      <c r="M625" s="37">
        <f t="shared" si="120"/>
        <v>0</v>
      </c>
      <c r="O625" s="4">
        <f t="shared" si="121"/>
        <v>0</v>
      </c>
      <c r="Q625" s="4">
        <f t="shared" si="122"/>
        <v>0</v>
      </c>
      <c r="S625" s="4">
        <f t="shared" si="123"/>
        <v>0</v>
      </c>
      <c r="U625" s="4">
        <f t="shared" si="126"/>
        <v>0</v>
      </c>
      <c r="W625" s="4">
        <f t="shared" si="124"/>
        <v>0</v>
      </c>
      <c r="Y625" s="4">
        <f t="shared" si="125"/>
        <v>0</v>
      </c>
    </row>
    <row r="626" spans="1:25" hidden="1" outlineLevel="1" x14ac:dyDescent="0.35">
      <c r="A626" s="39" t="s">
        <v>1700</v>
      </c>
      <c r="B626" s="39" t="s">
        <v>109</v>
      </c>
      <c r="C626" s="39" t="s">
        <v>109</v>
      </c>
      <c r="D626" s="39" t="s">
        <v>109</v>
      </c>
      <c r="E626" s="40" t="s">
        <v>109</v>
      </c>
      <c r="F626" s="39" t="s">
        <v>41</v>
      </c>
      <c r="G626" s="39" t="s">
        <v>109</v>
      </c>
      <c r="H626" s="47">
        <v>0</v>
      </c>
      <c r="I626" s="36">
        <f t="shared" si="119"/>
        <v>0</v>
      </c>
      <c r="J626" s="37">
        <f t="shared" si="117"/>
        <v>0</v>
      </c>
      <c r="K626" s="37">
        <f t="shared" si="118"/>
        <v>0</v>
      </c>
      <c r="M626" s="37">
        <f t="shared" si="120"/>
        <v>0</v>
      </c>
      <c r="O626" s="4">
        <f t="shared" si="121"/>
        <v>0</v>
      </c>
      <c r="Q626" s="4">
        <f t="shared" si="122"/>
        <v>0</v>
      </c>
      <c r="S626" s="4">
        <f t="shared" si="123"/>
        <v>0</v>
      </c>
      <c r="U626" s="4">
        <f t="shared" si="126"/>
        <v>0</v>
      </c>
      <c r="W626" s="4">
        <f t="shared" si="124"/>
        <v>0</v>
      </c>
      <c r="Y626" s="4">
        <f t="shared" si="125"/>
        <v>0</v>
      </c>
    </row>
    <row r="627" spans="1:25" hidden="1" outlineLevel="1" x14ac:dyDescent="0.35">
      <c r="A627" s="39" t="s">
        <v>1701</v>
      </c>
      <c r="B627" s="39" t="s">
        <v>109</v>
      </c>
      <c r="C627" s="39" t="s">
        <v>109</v>
      </c>
      <c r="D627" s="39" t="s">
        <v>109</v>
      </c>
      <c r="E627" s="40" t="s">
        <v>109</v>
      </c>
      <c r="F627" s="39" t="s">
        <v>41</v>
      </c>
      <c r="G627" s="39" t="s">
        <v>109</v>
      </c>
      <c r="H627" s="47">
        <v>0</v>
      </c>
      <c r="I627" s="36">
        <f t="shared" si="119"/>
        <v>0</v>
      </c>
      <c r="J627" s="37">
        <f t="shared" si="117"/>
        <v>0</v>
      </c>
      <c r="K627" s="37">
        <f t="shared" si="118"/>
        <v>0</v>
      </c>
      <c r="M627" s="37">
        <f t="shared" si="120"/>
        <v>0</v>
      </c>
      <c r="O627" s="4">
        <f t="shared" si="121"/>
        <v>0</v>
      </c>
      <c r="Q627" s="4">
        <f t="shared" si="122"/>
        <v>0</v>
      </c>
      <c r="S627" s="4">
        <f t="shared" si="123"/>
        <v>0</v>
      </c>
      <c r="U627" s="4">
        <f t="shared" si="126"/>
        <v>0</v>
      </c>
      <c r="W627" s="4">
        <f t="shared" si="124"/>
        <v>0</v>
      </c>
      <c r="Y627" s="4">
        <f t="shared" si="125"/>
        <v>0</v>
      </c>
    </row>
    <row r="628" spans="1:25" hidden="1" outlineLevel="1" x14ac:dyDescent="0.35">
      <c r="A628" s="39" t="s">
        <v>1702</v>
      </c>
      <c r="B628" s="39" t="s">
        <v>109</v>
      </c>
      <c r="C628" s="39" t="s">
        <v>109</v>
      </c>
      <c r="D628" s="39" t="s">
        <v>109</v>
      </c>
      <c r="E628" s="40" t="s">
        <v>109</v>
      </c>
      <c r="F628" s="39" t="s">
        <v>41</v>
      </c>
      <c r="G628" s="39" t="s">
        <v>109</v>
      </c>
      <c r="H628" s="47">
        <v>0</v>
      </c>
      <c r="I628" s="36">
        <f t="shared" si="119"/>
        <v>0</v>
      </c>
      <c r="J628" s="37">
        <f t="shared" si="117"/>
        <v>0</v>
      </c>
      <c r="K628" s="37">
        <f t="shared" si="118"/>
        <v>0</v>
      </c>
      <c r="M628" s="37">
        <f t="shared" si="120"/>
        <v>0</v>
      </c>
      <c r="O628" s="4">
        <f t="shared" si="121"/>
        <v>0</v>
      </c>
      <c r="Q628" s="4">
        <f t="shared" si="122"/>
        <v>0</v>
      </c>
      <c r="S628" s="4">
        <f t="shared" si="123"/>
        <v>0</v>
      </c>
      <c r="U628" s="4">
        <f t="shared" si="126"/>
        <v>0</v>
      </c>
      <c r="W628" s="4">
        <f t="shared" si="124"/>
        <v>0</v>
      </c>
      <c r="Y628" s="4">
        <f t="shared" si="125"/>
        <v>0</v>
      </c>
    </row>
    <row r="629" spans="1:25" hidden="1" outlineLevel="1" x14ac:dyDescent="0.35">
      <c r="A629" s="39" t="s">
        <v>1703</v>
      </c>
      <c r="B629" s="39" t="s">
        <v>109</v>
      </c>
      <c r="C629" s="39" t="s">
        <v>109</v>
      </c>
      <c r="D629" s="39" t="s">
        <v>109</v>
      </c>
      <c r="E629" s="40" t="s">
        <v>109</v>
      </c>
      <c r="F629" s="39" t="s">
        <v>41</v>
      </c>
      <c r="G629" s="39" t="s">
        <v>109</v>
      </c>
      <c r="H629" s="47">
        <v>0</v>
      </c>
      <c r="I629" s="36">
        <f t="shared" si="119"/>
        <v>0</v>
      </c>
      <c r="J629" s="37">
        <f t="shared" si="117"/>
        <v>0</v>
      </c>
      <c r="K629" s="37">
        <f t="shared" si="118"/>
        <v>0</v>
      </c>
      <c r="M629" s="37">
        <f t="shared" si="120"/>
        <v>0</v>
      </c>
      <c r="O629" s="4">
        <f t="shared" si="121"/>
        <v>0</v>
      </c>
      <c r="Q629" s="4">
        <f t="shared" si="122"/>
        <v>0</v>
      </c>
      <c r="S629" s="4">
        <f t="shared" si="123"/>
        <v>0</v>
      </c>
      <c r="U629" s="4">
        <f t="shared" si="126"/>
        <v>0</v>
      </c>
      <c r="W629" s="4">
        <f t="shared" si="124"/>
        <v>0</v>
      </c>
      <c r="Y629" s="4">
        <f t="shared" si="125"/>
        <v>0</v>
      </c>
    </row>
    <row r="630" spans="1:25" hidden="1" outlineLevel="1" x14ac:dyDescent="0.35">
      <c r="A630" s="39" t="s">
        <v>1704</v>
      </c>
      <c r="B630" s="39" t="s">
        <v>109</v>
      </c>
      <c r="C630" s="39" t="s">
        <v>109</v>
      </c>
      <c r="D630" s="39" t="s">
        <v>109</v>
      </c>
      <c r="E630" s="40" t="s">
        <v>109</v>
      </c>
      <c r="F630" s="39" t="s">
        <v>41</v>
      </c>
      <c r="G630" s="39" t="s">
        <v>109</v>
      </c>
      <c r="H630" s="47">
        <v>0</v>
      </c>
      <c r="I630" s="36">
        <f t="shared" si="119"/>
        <v>0</v>
      </c>
      <c r="J630" s="37">
        <f t="shared" si="117"/>
        <v>0</v>
      </c>
      <c r="K630" s="37">
        <f t="shared" si="118"/>
        <v>0</v>
      </c>
      <c r="M630" s="37">
        <f t="shared" si="120"/>
        <v>0</v>
      </c>
      <c r="O630" s="4">
        <f t="shared" si="121"/>
        <v>0</v>
      </c>
      <c r="Q630" s="4">
        <f t="shared" si="122"/>
        <v>0</v>
      </c>
      <c r="S630" s="4">
        <f t="shared" si="123"/>
        <v>0</v>
      </c>
      <c r="U630" s="4">
        <f t="shared" si="126"/>
        <v>0</v>
      </c>
      <c r="W630" s="4">
        <f t="shared" si="124"/>
        <v>0</v>
      </c>
      <c r="Y630" s="4">
        <f t="shared" si="125"/>
        <v>0</v>
      </c>
    </row>
    <row r="631" spans="1:25" hidden="1" outlineLevel="1" x14ac:dyDescent="0.35">
      <c r="A631" s="39" t="s">
        <v>1705</v>
      </c>
      <c r="B631" s="39" t="s">
        <v>109</v>
      </c>
      <c r="C631" s="39" t="s">
        <v>109</v>
      </c>
      <c r="D631" s="39" t="s">
        <v>109</v>
      </c>
      <c r="E631" s="40" t="s">
        <v>109</v>
      </c>
      <c r="F631" s="39" t="s">
        <v>41</v>
      </c>
      <c r="G631" s="39" t="s">
        <v>109</v>
      </c>
      <c r="H631" s="47">
        <v>0</v>
      </c>
      <c r="I631" s="36">
        <f t="shared" si="119"/>
        <v>0</v>
      </c>
      <c r="J631" s="37">
        <f t="shared" si="117"/>
        <v>0</v>
      </c>
      <c r="K631" s="37">
        <f t="shared" si="118"/>
        <v>0</v>
      </c>
      <c r="M631" s="37">
        <f t="shared" si="120"/>
        <v>0</v>
      </c>
      <c r="O631" s="4">
        <f t="shared" si="121"/>
        <v>0</v>
      </c>
      <c r="Q631" s="4">
        <f t="shared" si="122"/>
        <v>0</v>
      </c>
      <c r="S631" s="4">
        <f t="shared" si="123"/>
        <v>0</v>
      </c>
      <c r="U631" s="4">
        <f t="shared" si="126"/>
        <v>0</v>
      </c>
      <c r="W631" s="4">
        <f t="shared" si="124"/>
        <v>0</v>
      </c>
      <c r="Y631" s="4">
        <f t="shared" si="125"/>
        <v>0</v>
      </c>
    </row>
    <row r="632" spans="1:25" hidden="1" outlineLevel="1" x14ac:dyDescent="0.35">
      <c r="A632" s="39" t="s">
        <v>1706</v>
      </c>
      <c r="B632" s="39" t="s">
        <v>109</v>
      </c>
      <c r="C632" s="39" t="s">
        <v>109</v>
      </c>
      <c r="D632" s="39" t="s">
        <v>109</v>
      </c>
      <c r="E632" s="40" t="s">
        <v>109</v>
      </c>
      <c r="F632" s="39" t="s">
        <v>41</v>
      </c>
      <c r="G632" s="39" t="s">
        <v>109</v>
      </c>
      <c r="H632" s="47">
        <v>0</v>
      </c>
      <c r="I632" s="36">
        <f t="shared" si="119"/>
        <v>0</v>
      </c>
      <c r="J632" s="37">
        <f t="shared" si="117"/>
        <v>0</v>
      </c>
      <c r="K632" s="37">
        <f t="shared" si="118"/>
        <v>0</v>
      </c>
      <c r="M632" s="37">
        <f t="shared" si="120"/>
        <v>0</v>
      </c>
      <c r="O632" s="4">
        <f t="shared" si="121"/>
        <v>0</v>
      </c>
      <c r="Q632" s="4">
        <f t="shared" si="122"/>
        <v>0</v>
      </c>
      <c r="S632" s="4">
        <f t="shared" si="123"/>
        <v>0</v>
      </c>
      <c r="U632" s="4">
        <f t="shared" si="126"/>
        <v>0</v>
      </c>
      <c r="W632" s="4">
        <f t="shared" si="124"/>
        <v>0</v>
      </c>
      <c r="Y632" s="4">
        <f t="shared" si="125"/>
        <v>0</v>
      </c>
    </row>
    <row r="633" spans="1:25" hidden="1" outlineLevel="1" x14ac:dyDescent="0.35">
      <c r="A633" s="39" t="s">
        <v>1707</v>
      </c>
      <c r="B633" s="39" t="s">
        <v>109</v>
      </c>
      <c r="C633" s="39" t="s">
        <v>109</v>
      </c>
      <c r="D633" s="39" t="s">
        <v>109</v>
      </c>
      <c r="E633" s="40" t="s">
        <v>109</v>
      </c>
      <c r="F633" s="39" t="s">
        <v>41</v>
      </c>
      <c r="G633" s="39" t="s">
        <v>109</v>
      </c>
      <c r="H633" s="47">
        <v>0</v>
      </c>
      <c r="I633" s="36">
        <f t="shared" si="119"/>
        <v>0</v>
      </c>
      <c r="J633" s="37">
        <f t="shared" si="117"/>
        <v>0</v>
      </c>
      <c r="K633" s="37">
        <f t="shared" si="118"/>
        <v>0</v>
      </c>
      <c r="M633" s="37">
        <f t="shared" si="120"/>
        <v>0</v>
      </c>
      <c r="O633" s="4">
        <f t="shared" si="121"/>
        <v>0</v>
      </c>
      <c r="Q633" s="4">
        <f t="shared" si="122"/>
        <v>0</v>
      </c>
      <c r="S633" s="4">
        <f t="shared" si="123"/>
        <v>0</v>
      </c>
      <c r="U633" s="4">
        <f t="shared" si="126"/>
        <v>0</v>
      </c>
      <c r="W633" s="4">
        <f t="shared" si="124"/>
        <v>0</v>
      </c>
      <c r="Y633" s="4">
        <f t="shared" si="125"/>
        <v>0</v>
      </c>
    </row>
    <row r="634" spans="1:25" hidden="1" outlineLevel="1" x14ac:dyDescent="0.35">
      <c r="A634" s="39" t="s">
        <v>1708</v>
      </c>
      <c r="B634" s="39" t="s">
        <v>109</v>
      </c>
      <c r="C634" s="39" t="s">
        <v>109</v>
      </c>
      <c r="D634" s="39" t="s">
        <v>109</v>
      </c>
      <c r="E634" s="40" t="s">
        <v>109</v>
      </c>
      <c r="F634" s="39" t="s">
        <v>41</v>
      </c>
      <c r="G634" s="39" t="s">
        <v>109</v>
      </c>
      <c r="H634" s="47">
        <v>0</v>
      </c>
      <c r="I634" s="36">
        <f t="shared" si="119"/>
        <v>0</v>
      </c>
      <c r="J634" s="37">
        <f t="shared" si="117"/>
        <v>0</v>
      </c>
      <c r="K634" s="37">
        <f t="shared" si="118"/>
        <v>0</v>
      </c>
      <c r="M634" s="37">
        <f t="shared" si="120"/>
        <v>0</v>
      </c>
      <c r="O634" s="4">
        <f t="shared" si="121"/>
        <v>0</v>
      </c>
      <c r="Q634" s="4">
        <f t="shared" si="122"/>
        <v>0</v>
      </c>
      <c r="S634" s="4">
        <f t="shared" si="123"/>
        <v>0</v>
      </c>
      <c r="U634" s="4">
        <f t="shared" si="126"/>
        <v>0</v>
      </c>
      <c r="W634" s="4">
        <f t="shared" si="124"/>
        <v>0</v>
      </c>
      <c r="Y634" s="4">
        <f t="shared" si="125"/>
        <v>0</v>
      </c>
    </row>
    <row r="635" spans="1:25" hidden="1" outlineLevel="1" x14ac:dyDescent="0.35">
      <c r="A635" s="39" t="s">
        <v>1709</v>
      </c>
      <c r="B635" s="39" t="s">
        <v>109</v>
      </c>
      <c r="C635" s="39" t="s">
        <v>109</v>
      </c>
      <c r="D635" s="39" t="s">
        <v>109</v>
      </c>
      <c r="E635" s="40" t="s">
        <v>109</v>
      </c>
      <c r="F635" s="39" t="s">
        <v>41</v>
      </c>
      <c r="G635" s="39" t="s">
        <v>109</v>
      </c>
      <c r="H635" s="47">
        <v>0</v>
      </c>
      <c r="I635" s="36">
        <f t="shared" si="119"/>
        <v>0</v>
      </c>
      <c r="J635" s="37">
        <f t="shared" si="117"/>
        <v>0</v>
      </c>
      <c r="K635" s="37">
        <f t="shared" si="118"/>
        <v>0</v>
      </c>
      <c r="M635" s="37">
        <f t="shared" si="120"/>
        <v>0</v>
      </c>
      <c r="O635" s="4">
        <f t="shared" si="121"/>
        <v>0</v>
      </c>
      <c r="Q635" s="4">
        <f t="shared" si="122"/>
        <v>0</v>
      </c>
      <c r="S635" s="4">
        <f t="shared" si="123"/>
        <v>0</v>
      </c>
      <c r="U635" s="4">
        <f t="shared" si="126"/>
        <v>0</v>
      </c>
      <c r="W635" s="4">
        <f t="shared" si="124"/>
        <v>0</v>
      </c>
      <c r="Y635" s="4">
        <f t="shared" si="125"/>
        <v>0</v>
      </c>
    </row>
    <row r="636" spans="1:25" hidden="1" outlineLevel="1" x14ac:dyDescent="0.35">
      <c r="A636" s="39" t="s">
        <v>1710</v>
      </c>
      <c r="B636" s="39" t="s">
        <v>109</v>
      </c>
      <c r="C636" s="39" t="s">
        <v>109</v>
      </c>
      <c r="D636" s="39" t="s">
        <v>109</v>
      </c>
      <c r="E636" s="40" t="s">
        <v>109</v>
      </c>
      <c r="F636" s="39" t="s">
        <v>41</v>
      </c>
      <c r="G636" s="39" t="s">
        <v>109</v>
      </c>
      <c r="H636" s="47">
        <v>0</v>
      </c>
      <c r="I636" s="36">
        <f t="shared" si="119"/>
        <v>0</v>
      </c>
      <c r="J636" s="37">
        <f t="shared" si="117"/>
        <v>0</v>
      </c>
      <c r="K636" s="37">
        <f t="shared" si="118"/>
        <v>0</v>
      </c>
      <c r="M636" s="37">
        <f t="shared" si="120"/>
        <v>0</v>
      </c>
      <c r="O636" s="4">
        <f t="shared" si="121"/>
        <v>0</v>
      </c>
      <c r="Q636" s="4">
        <f t="shared" si="122"/>
        <v>0</v>
      </c>
      <c r="S636" s="4">
        <f t="shared" si="123"/>
        <v>0</v>
      </c>
      <c r="U636" s="4">
        <f t="shared" si="126"/>
        <v>0</v>
      </c>
      <c r="W636" s="4">
        <f t="shared" si="124"/>
        <v>0</v>
      </c>
      <c r="Y636" s="4">
        <f t="shared" si="125"/>
        <v>0</v>
      </c>
    </row>
    <row r="637" spans="1:25" hidden="1" outlineLevel="1" x14ac:dyDescent="0.35">
      <c r="A637" s="39" t="s">
        <v>1711</v>
      </c>
      <c r="B637" s="39" t="s">
        <v>109</v>
      </c>
      <c r="C637" s="39" t="s">
        <v>109</v>
      </c>
      <c r="D637" s="39" t="s">
        <v>109</v>
      </c>
      <c r="E637" s="40" t="s">
        <v>109</v>
      </c>
      <c r="F637" s="39" t="s">
        <v>41</v>
      </c>
      <c r="G637" s="39" t="s">
        <v>109</v>
      </c>
      <c r="H637" s="47">
        <v>0</v>
      </c>
      <c r="I637" s="36">
        <f t="shared" si="119"/>
        <v>0</v>
      </c>
      <c r="J637" s="37">
        <f t="shared" si="117"/>
        <v>0</v>
      </c>
      <c r="K637" s="37">
        <f t="shared" si="118"/>
        <v>0</v>
      </c>
      <c r="M637" s="37">
        <f t="shared" si="120"/>
        <v>0</v>
      </c>
      <c r="O637" s="4">
        <f t="shared" si="121"/>
        <v>0</v>
      </c>
      <c r="Q637" s="4">
        <f t="shared" si="122"/>
        <v>0</v>
      </c>
      <c r="S637" s="4">
        <f t="shared" si="123"/>
        <v>0</v>
      </c>
      <c r="U637" s="4">
        <f t="shared" si="126"/>
        <v>0</v>
      </c>
      <c r="W637" s="4">
        <f t="shared" si="124"/>
        <v>0</v>
      </c>
      <c r="Y637" s="4">
        <f t="shared" si="125"/>
        <v>0</v>
      </c>
    </row>
    <row r="638" spans="1:25" hidden="1" outlineLevel="1" x14ac:dyDescent="0.35">
      <c r="A638" s="39" t="s">
        <v>1712</v>
      </c>
      <c r="B638" s="39" t="s">
        <v>109</v>
      </c>
      <c r="C638" s="39" t="s">
        <v>109</v>
      </c>
      <c r="D638" s="39" t="s">
        <v>109</v>
      </c>
      <c r="E638" s="40" t="s">
        <v>109</v>
      </c>
      <c r="F638" s="39" t="s">
        <v>41</v>
      </c>
      <c r="G638" s="39" t="s">
        <v>109</v>
      </c>
      <c r="H638" s="47">
        <v>0</v>
      </c>
      <c r="I638" s="36">
        <f t="shared" si="119"/>
        <v>0</v>
      </c>
      <c r="J638" s="37">
        <f t="shared" si="117"/>
        <v>0</v>
      </c>
      <c r="K638" s="37">
        <f t="shared" si="118"/>
        <v>0</v>
      </c>
      <c r="M638" s="37">
        <f t="shared" si="120"/>
        <v>0</v>
      </c>
      <c r="O638" s="4">
        <f t="shared" si="121"/>
        <v>0</v>
      </c>
      <c r="Q638" s="4">
        <f t="shared" si="122"/>
        <v>0</v>
      </c>
      <c r="S638" s="4">
        <f t="shared" si="123"/>
        <v>0</v>
      </c>
      <c r="U638" s="4">
        <f t="shared" si="126"/>
        <v>0</v>
      </c>
      <c r="W638" s="4">
        <f t="shared" si="124"/>
        <v>0</v>
      </c>
      <c r="Y638" s="4">
        <f t="shared" si="125"/>
        <v>0</v>
      </c>
    </row>
    <row r="639" spans="1:25" hidden="1" outlineLevel="1" x14ac:dyDescent="0.35">
      <c r="A639" s="39" t="s">
        <v>1713</v>
      </c>
      <c r="B639" s="39" t="s">
        <v>109</v>
      </c>
      <c r="C639" s="39" t="s">
        <v>109</v>
      </c>
      <c r="D639" s="39" t="s">
        <v>109</v>
      </c>
      <c r="E639" s="40" t="s">
        <v>109</v>
      </c>
      <c r="F639" s="39" t="s">
        <v>41</v>
      </c>
      <c r="G639" s="39" t="s">
        <v>109</v>
      </c>
      <c r="H639" s="47">
        <v>0</v>
      </c>
      <c r="I639" s="36">
        <f t="shared" si="119"/>
        <v>0</v>
      </c>
      <c r="J639" s="37">
        <f t="shared" si="117"/>
        <v>0</v>
      </c>
      <c r="K639" s="37">
        <f t="shared" si="118"/>
        <v>0</v>
      </c>
      <c r="M639" s="37">
        <f t="shared" si="120"/>
        <v>0</v>
      </c>
      <c r="O639" s="4">
        <f t="shared" si="121"/>
        <v>0</v>
      </c>
      <c r="Q639" s="4">
        <f t="shared" si="122"/>
        <v>0</v>
      </c>
      <c r="S639" s="4">
        <f t="shared" si="123"/>
        <v>0</v>
      </c>
      <c r="U639" s="4">
        <f t="shared" si="126"/>
        <v>0</v>
      </c>
      <c r="W639" s="4">
        <f t="shared" si="124"/>
        <v>0</v>
      </c>
      <c r="Y639" s="4">
        <f t="shared" si="125"/>
        <v>0</v>
      </c>
    </row>
    <row r="640" spans="1:25" hidden="1" outlineLevel="1" x14ac:dyDescent="0.35">
      <c r="A640" s="39" t="s">
        <v>1714</v>
      </c>
      <c r="B640" s="39" t="s">
        <v>109</v>
      </c>
      <c r="C640" s="39" t="s">
        <v>109</v>
      </c>
      <c r="D640" s="39" t="s">
        <v>109</v>
      </c>
      <c r="E640" s="40" t="s">
        <v>109</v>
      </c>
      <c r="F640" s="39" t="s">
        <v>41</v>
      </c>
      <c r="G640" s="39" t="s">
        <v>109</v>
      </c>
      <c r="H640" s="47">
        <v>0</v>
      </c>
      <c r="I640" s="36">
        <f t="shared" si="119"/>
        <v>0</v>
      </c>
      <c r="J640" s="37">
        <f t="shared" si="117"/>
        <v>0</v>
      </c>
      <c r="K640" s="37">
        <f t="shared" si="118"/>
        <v>0</v>
      </c>
      <c r="M640" s="37">
        <f t="shared" si="120"/>
        <v>0</v>
      </c>
      <c r="O640" s="4">
        <f t="shared" si="121"/>
        <v>0</v>
      </c>
      <c r="Q640" s="4">
        <f t="shared" si="122"/>
        <v>0</v>
      </c>
      <c r="S640" s="4">
        <f t="shared" si="123"/>
        <v>0</v>
      </c>
      <c r="U640" s="4">
        <f t="shared" si="126"/>
        <v>0</v>
      </c>
      <c r="W640" s="4">
        <f t="shared" si="124"/>
        <v>0</v>
      </c>
      <c r="Y640" s="4">
        <f t="shared" si="125"/>
        <v>0</v>
      </c>
    </row>
    <row r="641" spans="1:25" hidden="1" outlineLevel="1" x14ac:dyDescent="0.35">
      <c r="A641" s="39" t="s">
        <v>1715</v>
      </c>
      <c r="B641" s="39" t="s">
        <v>109</v>
      </c>
      <c r="C641" s="39" t="s">
        <v>109</v>
      </c>
      <c r="D641" s="39" t="s">
        <v>109</v>
      </c>
      <c r="E641" s="40" t="s">
        <v>109</v>
      </c>
      <c r="F641" s="39" t="s">
        <v>41</v>
      </c>
      <c r="G641" s="39" t="s">
        <v>109</v>
      </c>
      <c r="H641" s="47">
        <v>0</v>
      </c>
      <c r="I641" s="36">
        <f t="shared" si="119"/>
        <v>0</v>
      </c>
      <c r="J641" s="37">
        <f t="shared" si="117"/>
        <v>0</v>
      </c>
      <c r="K641" s="37">
        <f t="shared" si="118"/>
        <v>0</v>
      </c>
      <c r="M641" s="37">
        <f t="shared" si="120"/>
        <v>0</v>
      </c>
      <c r="O641" s="4">
        <f t="shared" si="121"/>
        <v>0</v>
      </c>
      <c r="Q641" s="4">
        <f t="shared" si="122"/>
        <v>0</v>
      </c>
      <c r="S641" s="4">
        <f t="shared" si="123"/>
        <v>0</v>
      </c>
      <c r="U641" s="4">
        <f t="shared" si="126"/>
        <v>0</v>
      </c>
      <c r="W641" s="4">
        <f t="shared" si="124"/>
        <v>0</v>
      </c>
      <c r="Y641" s="4">
        <f t="shared" si="125"/>
        <v>0</v>
      </c>
    </row>
    <row r="642" spans="1:25" hidden="1" outlineLevel="1" x14ac:dyDescent="0.35">
      <c r="A642" s="39" t="s">
        <v>1716</v>
      </c>
      <c r="B642" s="39" t="s">
        <v>109</v>
      </c>
      <c r="C642" s="39" t="s">
        <v>109</v>
      </c>
      <c r="D642" s="39" t="s">
        <v>109</v>
      </c>
      <c r="E642" s="40" t="s">
        <v>109</v>
      </c>
      <c r="F642" s="39" t="s">
        <v>41</v>
      </c>
      <c r="G642" s="39" t="s">
        <v>109</v>
      </c>
      <c r="H642" s="47">
        <v>0</v>
      </c>
      <c r="I642" s="36">
        <f t="shared" si="119"/>
        <v>0</v>
      </c>
      <c r="J642" s="37">
        <f t="shared" si="117"/>
        <v>0</v>
      </c>
      <c r="K642" s="37">
        <f t="shared" si="118"/>
        <v>0</v>
      </c>
      <c r="M642" s="37">
        <f t="shared" si="120"/>
        <v>0</v>
      </c>
      <c r="O642" s="4">
        <f t="shared" si="121"/>
        <v>0</v>
      </c>
      <c r="Q642" s="4">
        <f t="shared" si="122"/>
        <v>0</v>
      </c>
      <c r="S642" s="4">
        <f t="shared" si="123"/>
        <v>0</v>
      </c>
      <c r="U642" s="4">
        <f t="shared" si="126"/>
        <v>0</v>
      </c>
      <c r="W642" s="4">
        <f t="shared" si="124"/>
        <v>0</v>
      </c>
      <c r="Y642" s="4">
        <f t="shared" si="125"/>
        <v>0</v>
      </c>
    </row>
    <row r="643" spans="1:25" hidden="1" outlineLevel="1" x14ac:dyDescent="0.35">
      <c r="A643" s="39" t="s">
        <v>1717</v>
      </c>
      <c r="B643" s="39" t="s">
        <v>109</v>
      </c>
      <c r="C643" s="39" t="s">
        <v>109</v>
      </c>
      <c r="D643" s="39" t="s">
        <v>109</v>
      </c>
      <c r="E643" s="40" t="s">
        <v>109</v>
      </c>
      <c r="F643" s="39" t="s">
        <v>41</v>
      </c>
      <c r="G643" s="39" t="s">
        <v>109</v>
      </c>
      <c r="H643" s="47">
        <v>0</v>
      </c>
      <c r="I643" s="36">
        <f t="shared" si="119"/>
        <v>0</v>
      </c>
      <c r="J643" s="37">
        <f t="shared" si="117"/>
        <v>0</v>
      </c>
      <c r="K643" s="37">
        <f t="shared" si="118"/>
        <v>0</v>
      </c>
      <c r="M643" s="37">
        <f t="shared" si="120"/>
        <v>0</v>
      </c>
      <c r="O643" s="4">
        <f t="shared" si="121"/>
        <v>0</v>
      </c>
      <c r="Q643" s="4">
        <f t="shared" si="122"/>
        <v>0</v>
      </c>
      <c r="S643" s="4">
        <f t="shared" si="123"/>
        <v>0</v>
      </c>
      <c r="U643" s="4">
        <f t="shared" si="126"/>
        <v>0</v>
      </c>
      <c r="W643" s="4">
        <f t="shared" si="124"/>
        <v>0</v>
      </c>
      <c r="Y643" s="4">
        <f t="shared" si="125"/>
        <v>0</v>
      </c>
    </row>
    <row r="644" spans="1:25" hidden="1" outlineLevel="1" x14ac:dyDescent="0.35">
      <c r="A644" s="39" t="s">
        <v>1718</v>
      </c>
      <c r="B644" s="39" t="s">
        <v>109</v>
      </c>
      <c r="C644" s="39" t="s">
        <v>109</v>
      </c>
      <c r="D644" s="39" t="s">
        <v>109</v>
      </c>
      <c r="E644" s="40" t="s">
        <v>109</v>
      </c>
      <c r="F644" s="39" t="s">
        <v>41</v>
      </c>
      <c r="G644" s="39" t="s">
        <v>109</v>
      </c>
      <c r="H644" s="47">
        <v>0</v>
      </c>
      <c r="I644" s="36">
        <f t="shared" si="119"/>
        <v>0</v>
      </c>
      <c r="J644" s="37">
        <f t="shared" si="117"/>
        <v>0</v>
      </c>
      <c r="K644" s="37">
        <f t="shared" si="118"/>
        <v>0</v>
      </c>
      <c r="M644" s="37">
        <f t="shared" si="120"/>
        <v>0</v>
      </c>
      <c r="O644" s="4">
        <f t="shared" si="121"/>
        <v>0</v>
      </c>
      <c r="Q644" s="4">
        <f t="shared" si="122"/>
        <v>0</v>
      </c>
      <c r="S644" s="4">
        <f t="shared" si="123"/>
        <v>0</v>
      </c>
      <c r="U644" s="4">
        <f t="shared" si="126"/>
        <v>0</v>
      </c>
      <c r="W644" s="4">
        <f t="shared" si="124"/>
        <v>0</v>
      </c>
      <c r="Y644" s="4">
        <f t="shared" si="125"/>
        <v>0</v>
      </c>
    </row>
    <row r="645" spans="1:25" hidden="1" outlineLevel="1" x14ac:dyDescent="0.35">
      <c r="A645" s="39" t="s">
        <v>1719</v>
      </c>
      <c r="B645" s="39" t="s">
        <v>109</v>
      </c>
      <c r="C645" s="39" t="s">
        <v>109</v>
      </c>
      <c r="D645" s="39" t="s">
        <v>109</v>
      </c>
      <c r="E645" s="40" t="s">
        <v>109</v>
      </c>
      <c r="F645" s="39" t="s">
        <v>41</v>
      </c>
      <c r="G645" s="39" t="s">
        <v>109</v>
      </c>
      <c r="H645" s="47">
        <v>0</v>
      </c>
      <c r="I645" s="36">
        <f t="shared" si="119"/>
        <v>0</v>
      </c>
      <c r="J645" s="37">
        <f t="shared" si="117"/>
        <v>0</v>
      </c>
      <c r="K645" s="37">
        <f t="shared" si="118"/>
        <v>0</v>
      </c>
      <c r="M645" s="37">
        <f t="shared" si="120"/>
        <v>0</v>
      </c>
      <c r="O645" s="4">
        <f t="shared" si="121"/>
        <v>0</v>
      </c>
      <c r="Q645" s="4">
        <f t="shared" si="122"/>
        <v>0</v>
      </c>
      <c r="S645" s="4">
        <f t="shared" si="123"/>
        <v>0</v>
      </c>
      <c r="U645" s="4">
        <f t="shared" si="126"/>
        <v>0</v>
      </c>
      <c r="W645" s="4">
        <f t="shared" si="124"/>
        <v>0</v>
      </c>
      <c r="Y645" s="4">
        <f t="shared" si="125"/>
        <v>0</v>
      </c>
    </row>
    <row r="646" spans="1:25" hidden="1" outlineLevel="1" x14ac:dyDescent="0.35">
      <c r="A646" s="39" t="s">
        <v>1720</v>
      </c>
      <c r="B646" s="39" t="s">
        <v>109</v>
      </c>
      <c r="C646" s="39" t="s">
        <v>109</v>
      </c>
      <c r="D646" s="39" t="s">
        <v>109</v>
      </c>
      <c r="E646" s="40" t="s">
        <v>109</v>
      </c>
      <c r="F646" s="39" t="s">
        <v>41</v>
      </c>
      <c r="G646" s="39" t="s">
        <v>109</v>
      </c>
      <c r="H646" s="47">
        <v>0</v>
      </c>
      <c r="I646" s="36">
        <f t="shared" si="119"/>
        <v>0</v>
      </c>
      <c r="J646" s="37">
        <f t="shared" si="117"/>
        <v>0</v>
      </c>
      <c r="K646" s="37">
        <f t="shared" si="118"/>
        <v>0</v>
      </c>
      <c r="M646" s="37">
        <f t="shared" si="120"/>
        <v>0</v>
      </c>
      <c r="O646" s="4">
        <f t="shared" si="121"/>
        <v>0</v>
      </c>
      <c r="Q646" s="4">
        <f t="shared" si="122"/>
        <v>0</v>
      </c>
      <c r="S646" s="4">
        <f t="shared" si="123"/>
        <v>0</v>
      </c>
      <c r="U646" s="4">
        <f t="shared" si="126"/>
        <v>0</v>
      </c>
      <c r="W646" s="4">
        <f t="shared" si="124"/>
        <v>0</v>
      </c>
      <c r="Y646" s="4">
        <f t="shared" si="125"/>
        <v>0</v>
      </c>
    </row>
    <row r="647" spans="1:25" hidden="1" outlineLevel="1" x14ac:dyDescent="0.35">
      <c r="A647" s="39" t="s">
        <v>1721</v>
      </c>
      <c r="B647" s="39" t="s">
        <v>109</v>
      </c>
      <c r="C647" s="39" t="s">
        <v>109</v>
      </c>
      <c r="D647" s="39" t="s">
        <v>109</v>
      </c>
      <c r="E647" s="40" t="s">
        <v>109</v>
      </c>
      <c r="F647" s="39" t="s">
        <v>41</v>
      </c>
      <c r="G647" s="39" t="s">
        <v>109</v>
      </c>
      <c r="H647" s="47">
        <v>0</v>
      </c>
      <c r="I647" s="36">
        <f t="shared" si="119"/>
        <v>0</v>
      </c>
      <c r="J647" s="37">
        <f t="shared" si="117"/>
        <v>0</v>
      </c>
      <c r="K647" s="37">
        <f t="shared" si="118"/>
        <v>0</v>
      </c>
      <c r="M647" s="37">
        <f t="shared" si="120"/>
        <v>0</v>
      </c>
      <c r="O647" s="4">
        <f t="shared" si="121"/>
        <v>0</v>
      </c>
      <c r="Q647" s="4">
        <f t="shared" si="122"/>
        <v>0</v>
      </c>
      <c r="S647" s="4">
        <f t="shared" si="123"/>
        <v>0</v>
      </c>
      <c r="U647" s="4">
        <f t="shared" si="126"/>
        <v>0</v>
      </c>
      <c r="W647" s="4">
        <f t="shared" si="124"/>
        <v>0</v>
      </c>
      <c r="Y647" s="4">
        <f t="shared" si="125"/>
        <v>0</v>
      </c>
    </row>
    <row r="648" spans="1:25" hidden="1" outlineLevel="1" x14ac:dyDescent="0.35">
      <c r="A648" s="39" t="s">
        <v>1722</v>
      </c>
      <c r="B648" s="39" t="s">
        <v>109</v>
      </c>
      <c r="C648" s="39" t="s">
        <v>109</v>
      </c>
      <c r="D648" s="39" t="s">
        <v>109</v>
      </c>
      <c r="E648" s="40" t="s">
        <v>109</v>
      </c>
      <c r="F648" s="39" t="s">
        <v>41</v>
      </c>
      <c r="G648" s="39" t="s">
        <v>109</v>
      </c>
      <c r="H648" s="47">
        <v>0</v>
      </c>
      <c r="I648" s="36">
        <f t="shared" si="119"/>
        <v>0</v>
      </c>
      <c r="J648" s="37">
        <f t="shared" si="117"/>
        <v>0</v>
      </c>
      <c r="K648" s="37">
        <f t="shared" si="118"/>
        <v>0</v>
      </c>
      <c r="M648" s="37">
        <f t="shared" si="120"/>
        <v>0</v>
      </c>
      <c r="O648" s="4">
        <f t="shared" si="121"/>
        <v>0</v>
      </c>
      <c r="Q648" s="4">
        <f t="shared" si="122"/>
        <v>0</v>
      </c>
      <c r="S648" s="4">
        <f t="shared" si="123"/>
        <v>0</v>
      </c>
      <c r="U648" s="4">
        <f t="shared" si="126"/>
        <v>0</v>
      </c>
      <c r="W648" s="4">
        <f t="shared" si="124"/>
        <v>0</v>
      </c>
      <c r="Y648" s="4">
        <f t="shared" si="125"/>
        <v>0</v>
      </c>
    </row>
    <row r="649" spans="1:25" hidden="1" outlineLevel="1" x14ac:dyDescent="0.35">
      <c r="A649" s="39" t="s">
        <v>1723</v>
      </c>
      <c r="B649" s="39" t="s">
        <v>109</v>
      </c>
      <c r="C649" s="39" t="s">
        <v>109</v>
      </c>
      <c r="D649" s="39" t="s">
        <v>109</v>
      </c>
      <c r="E649" s="40" t="s">
        <v>109</v>
      </c>
      <c r="F649" s="39" t="s">
        <v>41</v>
      </c>
      <c r="G649" s="39" t="s">
        <v>109</v>
      </c>
      <c r="H649" s="47">
        <v>0</v>
      </c>
      <c r="I649" s="36">
        <f t="shared" si="119"/>
        <v>0</v>
      </c>
      <c r="J649" s="37">
        <f t="shared" si="117"/>
        <v>0</v>
      </c>
      <c r="K649" s="37">
        <f t="shared" si="118"/>
        <v>0</v>
      </c>
      <c r="M649" s="37">
        <f t="shared" si="120"/>
        <v>0</v>
      </c>
      <c r="O649" s="4">
        <f t="shared" si="121"/>
        <v>0</v>
      </c>
      <c r="Q649" s="4">
        <f t="shared" si="122"/>
        <v>0</v>
      </c>
      <c r="S649" s="4">
        <f t="shared" si="123"/>
        <v>0</v>
      </c>
      <c r="U649" s="4">
        <f t="shared" si="126"/>
        <v>0</v>
      </c>
      <c r="W649" s="4">
        <f t="shared" si="124"/>
        <v>0</v>
      </c>
      <c r="Y649" s="4">
        <f t="shared" si="125"/>
        <v>0</v>
      </c>
    </row>
    <row r="650" spans="1:25" hidden="1" outlineLevel="1" x14ac:dyDescent="0.35">
      <c r="A650" s="39" t="s">
        <v>1724</v>
      </c>
      <c r="B650" s="39" t="s">
        <v>109</v>
      </c>
      <c r="C650" s="39" t="s">
        <v>109</v>
      </c>
      <c r="D650" s="39" t="s">
        <v>109</v>
      </c>
      <c r="E650" s="40" t="s">
        <v>109</v>
      </c>
      <c r="F650" s="39" t="s">
        <v>41</v>
      </c>
      <c r="G650" s="39" t="s">
        <v>109</v>
      </c>
      <c r="H650" s="47">
        <v>0</v>
      </c>
      <c r="I650" s="36">
        <f t="shared" si="119"/>
        <v>0</v>
      </c>
      <c r="J650" s="37">
        <f t="shared" si="117"/>
        <v>0</v>
      </c>
      <c r="K650" s="37">
        <f t="shared" si="118"/>
        <v>0</v>
      </c>
      <c r="M650" s="37">
        <f t="shared" si="120"/>
        <v>0</v>
      </c>
      <c r="O650" s="4">
        <f t="shared" si="121"/>
        <v>0</v>
      </c>
      <c r="Q650" s="4">
        <f t="shared" si="122"/>
        <v>0</v>
      </c>
      <c r="S650" s="4">
        <f t="shared" si="123"/>
        <v>0</v>
      </c>
      <c r="U650" s="4">
        <f t="shared" si="126"/>
        <v>0</v>
      </c>
      <c r="W650" s="4">
        <f t="shared" si="124"/>
        <v>0</v>
      </c>
      <c r="Y650" s="4">
        <f t="shared" si="125"/>
        <v>0</v>
      </c>
    </row>
    <row r="651" spans="1:25" hidden="1" outlineLevel="1" x14ac:dyDescent="0.35">
      <c r="A651" s="39" t="s">
        <v>1725</v>
      </c>
      <c r="B651" s="39" t="s">
        <v>109</v>
      </c>
      <c r="C651" s="39" t="s">
        <v>109</v>
      </c>
      <c r="D651" s="39" t="s">
        <v>109</v>
      </c>
      <c r="E651" s="40" t="s">
        <v>109</v>
      </c>
      <c r="F651" s="39" t="s">
        <v>41</v>
      </c>
      <c r="G651" s="39" t="s">
        <v>109</v>
      </c>
      <c r="H651" s="47">
        <v>0</v>
      </c>
      <c r="I651" s="36">
        <f t="shared" si="119"/>
        <v>0</v>
      </c>
      <c r="J651" s="37">
        <f t="shared" si="117"/>
        <v>0</v>
      </c>
      <c r="K651" s="37">
        <f t="shared" si="118"/>
        <v>0</v>
      </c>
      <c r="M651" s="37">
        <f t="shared" si="120"/>
        <v>0</v>
      </c>
      <c r="O651" s="4">
        <f t="shared" si="121"/>
        <v>0</v>
      </c>
      <c r="Q651" s="4">
        <f t="shared" si="122"/>
        <v>0</v>
      </c>
      <c r="S651" s="4">
        <f t="shared" si="123"/>
        <v>0</v>
      </c>
      <c r="U651" s="4">
        <f t="shared" si="126"/>
        <v>0</v>
      </c>
      <c r="W651" s="4">
        <f t="shared" si="124"/>
        <v>0</v>
      </c>
      <c r="Y651" s="4">
        <f t="shared" si="125"/>
        <v>0</v>
      </c>
    </row>
    <row r="652" spans="1:25" hidden="1" outlineLevel="1" x14ac:dyDescent="0.35">
      <c r="A652" s="39" t="s">
        <v>1726</v>
      </c>
      <c r="B652" s="39" t="s">
        <v>109</v>
      </c>
      <c r="C652" s="39" t="s">
        <v>109</v>
      </c>
      <c r="D652" s="39" t="s">
        <v>109</v>
      </c>
      <c r="E652" s="40" t="s">
        <v>109</v>
      </c>
      <c r="F652" s="39" t="s">
        <v>41</v>
      </c>
      <c r="G652" s="39" t="s">
        <v>109</v>
      </c>
      <c r="H652" s="47">
        <v>0</v>
      </c>
      <c r="I652" s="36">
        <f t="shared" si="119"/>
        <v>0</v>
      </c>
      <c r="J652" s="37">
        <f t="shared" si="117"/>
        <v>0</v>
      </c>
      <c r="K652" s="37">
        <f t="shared" si="118"/>
        <v>0</v>
      </c>
      <c r="M652" s="37">
        <f t="shared" si="120"/>
        <v>0</v>
      </c>
      <c r="O652" s="4">
        <f t="shared" si="121"/>
        <v>0</v>
      </c>
      <c r="Q652" s="4">
        <f t="shared" si="122"/>
        <v>0</v>
      </c>
      <c r="S652" s="4">
        <f t="shared" si="123"/>
        <v>0</v>
      </c>
      <c r="U652" s="4">
        <f t="shared" si="126"/>
        <v>0</v>
      </c>
      <c r="W652" s="4">
        <f t="shared" si="124"/>
        <v>0</v>
      </c>
      <c r="Y652" s="4">
        <f t="shared" si="125"/>
        <v>0</v>
      </c>
    </row>
    <row r="653" spans="1:25" hidden="1" outlineLevel="1" x14ac:dyDescent="0.35">
      <c r="A653" s="39" t="s">
        <v>1727</v>
      </c>
      <c r="B653" s="39" t="s">
        <v>109</v>
      </c>
      <c r="C653" s="39" t="s">
        <v>109</v>
      </c>
      <c r="D653" s="39" t="s">
        <v>109</v>
      </c>
      <c r="E653" s="40" t="s">
        <v>109</v>
      </c>
      <c r="F653" s="39" t="s">
        <v>41</v>
      </c>
      <c r="G653" s="39" t="s">
        <v>109</v>
      </c>
      <c r="H653" s="47">
        <v>0</v>
      </c>
      <c r="I653" s="36">
        <f t="shared" si="119"/>
        <v>0</v>
      </c>
      <c r="J653" s="37">
        <f t="shared" si="117"/>
        <v>0</v>
      </c>
      <c r="K653" s="37">
        <f t="shared" si="118"/>
        <v>0</v>
      </c>
      <c r="M653" s="37">
        <f t="shared" si="120"/>
        <v>0</v>
      </c>
      <c r="O653" s="4">
        <f t="shared" si="121"/>
        <v>0</v>
      </c>
      <c r="Q653" s="4">
        <f t="shared" si="122"/>
        <v>0</v>
      </c>
      <c r="S653" s="4">
        <f t="shared" si="123"/>
        <v>0</v>
      </c>
      <c r="U653" s="4">
        <f t="shared" si="126"/>
        <v>0</v>
      </c>
      <c r="W653" s="4">
        <f t="shared" si="124"/>
        <v>0</v>
      </c>
      <c r="Y653" s="4">
        <f t="shared" si="125"/>
        <v>0</v>
      </c>
    </row>
    <row r="654" spans="1:25" hidden="1" outlineLevel="1" x14ac:dyDescent="0.35">
      <c r="A654" s="39" t="s">
        <v>1728</v>
      </c>
      <c r="B654" s="39" t="s">
        <v>109</v>
      </c>
      <c r="C654" s="39" t="s">
        <v>109</v>
      </c>
      <c r="D654" s="39" t="s">
        <v>109</v>
      </c>
      <c r="E654" s="40" t="s">
        <v>109</v>
      </c>
      <c r="F654" s="39" t="s">
        <v>41</v>
      </c>
      <c r="G654" s="39" t="s">
        <v>109</v>
      </c>
      <c r="H654" s="47">
        <v>0</v>
      </c>
      <c r="I654" s="36">
        <f t="shared" si="119"/>
        <v>0</v>
      </c>
      <c r="J654" s="37">
        <f t="shared" si="117"/>
        <v>0</v>
      </c>
      <c r="K654" s="37">
        <f t="shared" si="118"/>
        <v>0</v>
      </c>
      <c r="M654" s="37">
        <f t="shared" si="120"/>
        <v>0</v>
      </c>
      <c r="O654" s="4">
        <f t="shared" si="121"/>
        <v>0</v>
      </c>
      <c r="Q654" s="4">
        <f t="shared" si="122"/>
        <v>0</v>
      </c>
      <c r="S654" s="4">
        <f t="shared" si="123"/>
        <v>0</v>
      </c>
      <c r="U654" s="4">
        <f t="shared" si="126"/>
        <v>0</v>
      </c>
      <c r="W654" s="4">
        <f t="shared" si="124"/>
        <v>0</v>
      </c>
      <c r="Y654" s="4">
        <f t="shared" si="125"/>
        <v>0</v>
      </c>
    </row>
    <row r="655" spans="1:25" hidden="1" outlineLevel="1" x14ac:dyDescent="0.35">
      <c r="A655" s="39" t="s">
        <v>1729</v>
      </c>
      <c r="B655" s="39" t="s">
        <v>109</v>
      </c>
      <c r="C655" s="39" t="s">
        <v>109</v>
      </c>
      <c r="D655" s="39" t="s">
        <v>109</v>
      </c>
      <c r="E655" s="40" t="s">
        <v>109</v>
      </c>
      <c r="F655" s="39" t="s">
        <v>41</v>
      </c>
      <c r="G655" s="39" t="s">
        <v>109</v>
      </c>
      <c r="H655" s="47">
        <v>0</v>
      </c>
      <c r="I655" s="36">
        <f t="shared" si="119"/>
        <v>0</v>
      </c>
      <c r="J655" s="37">
        <f t="shared" si="117"/>
        <v>0</v>
      </c>
      <c r="K655" s="37">
        <f t="shared" si="118"/>
        <v>0</v>
      </c>
      <c r="M655" s="37">
        <f t="shared" si="120"/>
        <v>0</v>
      </c>
      <c r="O655" s="4">
        <f t="shared" si="121"/>
        <v>0</v>
      </c>
      <c r="Q655" s="4">
        <f t="shared" si="122"/>
        <v>0</v>
      </c>
      <c r="S655" s="4">
        <f t="shared" si="123"/>
        <v>0</v>
      </c>
      <c r="U655" s="4">
        <f t="shared" si="126"/>
        <v>0</v>
      </c>
      <c r="W655" s="4">
        <f t="shared" si="124"/>
        <v>0</v>
      </c>
      <c r="Y655" s="4">
        <f t="shared" si="125"/>
        <v>0</v>
      </c>
    </row>
    <row r="656" spans="1:25" hidden="1" outlineLevel="1" x14ac:dyDescent="0.35">
      <c r="A656" s="39" t="s">
        <v>1730</v>
      </c>
      <c r="B656" s="39" t="s">
        <v>109</v>
      </c>
      <c r="C656" s="39" t="s">
        <v>109</v>
      </c>
      <c r="D656" s="39" t="s">
        <v>109</v>
      </c>
      <c r="E656" s="40" t="s">
        <v>109</v>
      </c>
      <c r="F656" s="39" t="s">
        <v>41</v>
      </c>
      <c r="G656" s="39" t="s">
        <v>109</v>
      </c>
      <c r="H656" s="47">
        <v>0</v>
      </c>
      <c r="I656" s="36">
        <f t="shared" si="119"/>
        <v>0</v>
      </c>
      <c r="J656" s="37">
        <f t="shared" si="117"/>
        <v>0</v>
      </c>
      <c r="K656" s="37">
        <f t="shared" si="118"/>
        <v>0</v>
      </c>
      <c r="M656" s="37">
        <f t="shared" si="120"/>
        <v>0</v>
      </c>
      <c r="O656" s="4">
        <f t="shared" si="121"/>
        <v>0</v>
      </c>
      <c r="Q656" s="4">
        <f t="shared" si="122"/>
        <v>0</v>
      </c>
      <c r="S656" s="4">
        <f t="shared" si="123"/>
        <v>0</v>
      </c>
      <c r="U656" s="4">
        <f t="shared" si="126"/>
        <v>0</v>
      </c>
      <c r="W656" s="4">
        <f t="shared" si="124"/>
        <v>0</v>
      </c>
      <c r="Y656" s="4">
        <f t="shared" si="125"/>
        <v>0</v>
      </c>
    </row>
    <row r="657" spans="1:25" hidden="1" outlineLevel="1" x14ac:dyDescent="0.35">
      <c r="A657" s="39" t="s">
        <v>1731</v>
      </c>
      <c r="B657" s="39" t="s">
        <v>109</v>
      </c>
      <c r="C657" s="39" t="s">
        <v>109</v>
      </c>
      <c r="D657" s="39" t="s">
        <v>109</v>
      </c>
      <c r="E657" s="40" t="s">
        <v>109</v>
      </c>
      <c r="F657" s="39" t="s">
        <v>101</v>
      </c>
      <c r="G657" s="39" t="s">
        <v>109</v>
      </c>
      <c r="H657" s="47">
        <v>0</v>
      </c>
      <c r="I657" s="36">
        <f t="shared" si="119"/>
        <v>0</v>
      </c>
      <c r="J657" s="37">
        <f t="shared" si="117"/>
        <v>0</v>
      </c>
      <c r="K657" s="37">
        <f t="shared" si="118"/>
        <v>0</v>
      </c>
      <c r="M657" s="37">
        <f t="shared" si="120"/>
        <v>0</v>
      </c>
      <c r="O657" s="4">
        <f t="shared" si="121"/>
        <v>0</v>
      </c>
      <c r="Q657" s="4">
        <f t="shared" si="122"/>
        <v>0</v>
      </c>
      <c r="S657" s="4">
        <f t="shared" si="123"/>
        <v>0</v>
      </c>
      <c r="U657" s="4">
        <f t="shared" si="126"/>
        <v>0</v>
      </c>
      <c r="W657" s="4">
        <f t="shared" si="124"/>
        <v>0</v>
      </c>
      <c r="Y657" s="4">
        <f t="shared" si="125"/>
        <v>0</v>
      </c>
    </row>
    <row r="658" spans="1:25" hidden="1" outlineLevel="1" x14ac:dyDescent="0.35">
      <c r="A658" s="39" t="s">
        <v>1732</v>
      </c>
      <c r="B658" s="39" t="s">
        <v>109</v>
      </c>
      <c r="C658" s="39" t="s">
        <v>109</v>
      </c>
      <c r="D658" s="39" t="s">
        <v>109</v>
      </c>
      <c r="E658" s="40" t="s">
        <v>109</v>
      </c>
      <c r="F658" s="39" t="s">
        <v>41</v>
      </c>
      <c r="G658" s="39" t="s">
        <v>109</v>
      </c>
      <c r="H658" s="47">
        <v>0</v>
      </c>
      <c r="I658" s="36">
        <f t="shared" si="119"/>
        <v>0</v>
      </c>
      <c r="J658" s="37">
        <f t="shared" si="117"/>
        <v>0</v>
      </c>
      <c r="K658" s="37">
        <f t="shared" si="118"/>
        <v>0</v>
      </c>
      <c r="M658" s="37">
        <f t="shared" si="120"/>
        <v>0</v>
      </c>
      <c r="O658" s="4">
        <f t="shared" si="121"/>
        <v>0</v>
      </c>
      <c r="Q658" s="4">
        <f t="shared" si="122"/>
        <v>0</v>
      </c>
      <c r="S658" s="4">
        <f t="shared" si="123"/>
        <v>0</v>
      </c>
      <c r="U658" s="4">
        <f t="shared" si="126"/>
        <v>0</v>
      </c>
      <c r="W658" s="4">
        <f t="shared" si="124"/>
        <v>0</v>
      </c>
      <c r="Y658" s="4">
        <f t="shared" si="125"/>
        <v>0</v>
      </c>
    </row>
    <row r="659" spans="1:25" hidden="1" outlineLevel="1" x14ac:dyDescent="0.35">
      <c r="A659" s="39" t="s">
        <v>1733</v>
      </c>
      <c r="B659" s="39" t="s">
        <v>109</v>
      </c>
      <c r="C659" s="39" t="s">
        <v>109</v>
      </c>
      <c r="D659" s="39" t="s">
        <v>109</v>
      </c>
      <c r="E659" s="40" t="s">
        <v>109</v>
      </c>
      <c r="F659" s="39" t="s">
        <v>41</v>
      </c>
      <c r="G659" s="39" t="s">
        <v>109</v>
      </c>
      <c r="H659" s="47">
        <v>0</v>
      </c>
      <c r="I659" s="36">
        <f t="shared" si="119"/>
        <v>0</v>
      </c>
      <c r="J659" s="37">
        <f t="shared" si="117"/>
        <v>0</v>
      </c>
      <c r="K659" s="37">
        <f t="shared" si="118"/>
        <v>0</v>
      </c>
      <c r="M659" s="37">
        <f t="shared" si="120"/>
        <v>0</v>
      </c>
      <c r="O659" s="4">
        <f t="shared" si="121"/>
        <v>0</v>
      </c>
      <c r="Q659" s="4">
        <f t="shared" si="122"/>
        <v>0</v>
      </c>
      <c r="S659" s="4">
        <f t="shared" si="123"/>
        <v>0</v>
      </c>
      <c r="U659" s="4">
        <f t="shared" si="126"/>
        <v>0</v>
      </c>
      <c r="W659" s="4">
        <f t="shared" si="124"/>
        <v>0</v>
      </c>
      <c r="Y659" s="4">
        <f t="shared" si="125"/>
        <v>0</v>
      </c>
    </row>
    <row r="660" spans="1:25" hidden="1" outlineLevel="1" x14ac:dyDescent="0.35">
      <c r="A660" s="39" t="s">
        <v>1734</v>
      </c>
      <c r="B660" s="39" t="s">
        <v>109</v>
      </c>
      <c r="C660" s="39" t="s">
        <v>109</v>
      </c>
      <c r="D660" s="39" t="s">
        <v>109</v>
      </c>
      <c r="E660" s="40" t="s">
        <v>109</v>
      </c>
      <c r="F660" s="39" t="s">
        <v>41</v>
      </c>
      <c r="G660" s="39" t="s">
        <v>109</v>
      </c>
      <c r="H660" s="47">
        <v>0</v>
      </c>
      <c r="I660" s="36">
        <f t="shared" si="119"/>
        <v>0</v>
      </c>
      <c r="J660" s="37">
        <f t="shared" si="117"/>
        <v>0</v>
      </c>
      <c r="K660" s="37">
        <f t="shared" si="118"/>
        <v>0</v>
      </c>
      <c r="M660" s="37">
        <f t="shared" si="120"/>
        <v>0</v>
      </c>
      <c r="O660" s="4">
        <f t="shared" si="121"/>
        <v>0</v>
      </c>
      <c r="Q660" s="4">
        <f t="shared" si="122"/>
        <v>0</v>
      </c>
      <c r="S660" s="4">
        <f t="shared" si="123"/>
        <v>0</v>
      </c>
      <c r="U660" s="4">
        <f t="shared" si="126"/>
        <v>0</v>
      </c>
      <c r="W660" s="4">
        <f t="shared" si="124"/>
        <v>0</v>
      </c>
      <c r="Y660" s="4">
        <f t="shared" si="125"/>
        <v>0</v>
      </c>
    </row>
    <row r="661" spans="1:25" hidden="1" outlineLevel="1" x14ac:dyDescent="0.35">
      <c r="A661" s="39" t="s">
        <v>1735</v>
      </c>
      <c r="B661" s="39" t="s">
        <v>109</v>
      </c>
      <c r="C661" s="39" t="s">
        <v>109</v>
      </c>
      <c r="D661" s="39" t="s">
        <v>109</v>
      </c>
      <c r="E661" s="40" t="s">
        <v>109</v>
      </c>
      <c r="F661" s="39" t="s">
        <v>41</v>
      </c>
      <c r="G661" s="39" t="s">
        <v>109</v>
      </c>
      <c r="H661" s="47">
        <v>0</v>
      </c>
      <c r="I661" s="36">
        <f t="shared" si="119"/>
        <v>0</v>
      </c>
      <c r="J661" s="37">
        <f t="shared" si="117"/>
        <v>0</v>
      </c>
      <c r="K661" s="37">
        <f t="shared" si="118"/>
        <v>0</v>
      </c>
      <c r="M661" s="37">
        <f t="shared" si="120"/>
        <v>0</v>
      </c>
      <c r="O661" s="4">
        <f t="shared" si="121"/>
        <v>0</v>
      </c>
      <c r="Q661" s="4">
        <f t="shared" si="122"/>
        <v>0</v>
      </c>
      <c r="S661" s="4">
        <f t="shared" si="123"/>
        <v>0</v>
      </c>
      <c r="U661" s="4">
        <f t="shared" si="126"/>
        <v>0</v>
      </c>
      <c r="W661" s="4">
        <f t="shared" si="124"/>
        <v>0</v>
      </c>
      <c r="Y661" s="4">
        <f t="shared" si="125"/>
        <v>0</v>
      </c>
    </row>
    <row r="662" spans="1:25" hidden="1" outlineLevel="1" x14ac:dyDescent="0.35">
      <c r="A662" s="39" t="s">
        <v>1736</v>
      </c>
      <c r="B662" s="39" t="s">
        <v>109</v>
      </c>
      <c r="C662" s="39" t="s">
        <v>109</v>
      </c>
      <c r="D662" s="39" t="s">
        <v>109</v>
      </c>
      <c r="E662" s="40" t="s">
        <v>109</v>
      </c>
      <c r="F662" s="39" t="s">
        <v>41</v>
      </c>
      <c r="G662" s="39" t="s">
        <v>109</v>
      </c>
      <c r="H662" s="47">
        <v>0</v>
      </c>
      <c r="I662" s="36">
        <f t="shared" si="119"/>
        <v>0</v>
      </c>
      <c r="J662" s="37">
        <f t="shared" si="117"/>
        <v>0</v>
      </c>
      <c r="K662" s="37">
        <f t="shared" si="118"/>
        <v>0</v>
      </c>
      <c r="M662" s="37">
        <f t="shared" si="120"/>
        <v>0</v>
      </c>
      <c r="O662" s="4">
        <f t="shared" si="121"/>
        <v>0</v>
      </c>
      <c r="Q662" s="4">
        <f t="shared" si="122"/>
        <v>0</v>
      </c>
      <c r="S662" s="4">
        <f t="shared" si="123"/>
        <v>0</v>
      </c>
      <c r="U662" s="4">
        <f t="shared" si="126"/>
        <v>0</v>
      </c>
      <c r="W662" s="4">
        <f t="shared" si="124"/>
        <v>0</v>
      </c>
      <c r="Y662" s="4">
        <f t="shared" si="125"/>
        <v>0</v>
      </c>
    </row>
    <row r="663" spans="1:25" hidden="1" outlineLevel="1" x14ac:dyDescent="0.35">
      <c r="A663" s="39" t="s">
        <v>1737</v>
      </c>
      <c r="B663" s="39" t="s">
        <v>109</v>
      </c>
      <c r="C663" s="39" t="s">
        <v>109</v>
      </c>
      <c r="D663" s="39" t="s">
        <v>109</v>
      </c>
      <c r="E663" s="40" t="s">
        <v>109</v>
      </c>
      <c r="F663" s="39" t="s">
        <v>41</v>
      </c>
      <c r="G663" s="39" t="s">
        <v>109</v>
      </c>
      <c r="H663" s="47">
        <v>0</v>
      </c>
      <c r="I663" s="36">
        <f t="shared" si="119"/>
        <v>0</v>
      </c>
      <c r="J663" s="37">
        <f t="shared" si="117"/>
        <v>0</v>
      </c>
      <c r="K663" s="37">
        <f t="shared" si="118"/>
        <v>0</v>
      </c>
      <c r="M663" s="37">
        <f t="shared" si="120"/>
        <v>0</v>
      </c>
      <c r="O663" s="4">
        <f t="shared" si="121"/>
        <v>0</v>
      </c>
      <c r="Q663" s="4">
        <f t="shared" si="122"/>
        <v>0</v>
      </c>
      <c r="S663" s="4">
        <f t="shared" si="123"/>
        <v>0</v>
      </c>
      <c r="U663" s="4">
        <f t="shared" si="126"/>
        <v>0</v>
      </c>
      <c r="W663" s="4">
        <f t="shared" si="124"/>
        <v>0</v>
      </c>
      <c r="Y663" s="4">
        <f t="shared" si="125"/>
        <v>0</v>
      </c>
    </row>
    <row r="664" spans="1:25" hidden="1" outlineLevel="1" x14ac:dyDescent="0.35">
      <c r="A664" s="39" t="s">
        <v>1738</v>
      </c>
      <c r="B664" s="39" t="s">
        <v>109</v>
      </c>
      <c r="C664" s="39" t="s">
        <v>109</v>
      </c>
      <c r="D664" s="39" t="s">
        <v>109</v>
      </c>
      <c r="E664" s="40" t="s">
        <v>109</v>
      </c>
      <c r="F664" s="39" t="s">
        <v>41</v>
      </c>
      <c r="G664" s="39" t="s">
        <v>109</v>
      </c>
      <c r="H664" s="47">
        <v>0</v>
      </c>
      <c r="I664" s="36">
        <f t="shared" si="119"/>
        <v>0</v>
      </c>
      <c r="J664" s="37">
        <f t="shared" si="117"/>
        <v>0</v>
      </c>
      <c r="K664" s="37">
        <f t="shared" si="118"/>
        <v>0</v>
      </c>
      <c r="M664" s="37">
        <f t="shared" si="120"/>
        <v>0</v>
      </c>
      <c r="O664" s="4">
        <f t="shared" si="121"/>
        <v>0</v>
      </c>
      <c r="Q664" s="4">
        <f t="shared" si="122"/>
        <v>0</v>
      </c>
      <c r="S664" s="4">
        <f t="shared" si="123"/>
        <v>0</v>
      </c>
      <c r="U664" s="4">
        <f t="shared" si="126"/>
        <v>0</v>
      </c>
      <c r="W664" s="4">
        <f t="shared" si="124"/>
        <v>0</v>
      </c>
      <c r="Y664" s="4">
        <f t="shared" si="125"/>
        <v>0</v>
      </c>
    </row>
    <row r="665" spans="1:25" hidden="1" outlineLevel="1" x14ac:dyDescent="0.35">
      <c r="A665" s="39" t="s">
        <v>1739</v>
      </c>
      <c r="B665" s="39" t="s">
        <v>109</v>
      </c>
      <c r="C665" s="39" t="s">
        <v>109</v>
      </c>
      <c r="D665" s="39" t="s">
        <v>109</v>
      </c>
      <c r="E665" s="40" t="s">
        <v>109</v>
      </c>
      <c r="F665" s="39" t="s">
        <v>101</v>
      </c>
      <c r="G665" s="39" t="s">
        <v>109</v>
      </c>
      <c r="H665" s="47">
        <v>0</v>
      </c>
      <c r="I665" s="36">
        <f t="shared" si="119"/>
        <v>0</v>
      </c>
      <c r="J665" s="37">
        <f t="shared" si="117"/>
        <v>0</v>
      </c>
      <c r="K665" s="37">
        <f t="shared" si="118"/>
        <v>0</v>
      </c>
      <c r="M665" s="37">
        <f t="shared" si="120"/>
        <v>0</v>
      </c>
      <c r="O665" s="4">
        <f t="shared" si="121"/>
        <v>0</v>
      </c>
      <c r="Q665" s="4">
        <f t="shared" si="122"/>
        <v>0</v>
      </c>
      <c r="S665" s="4">
        <f t="shared" si="123"/>
        <v>0</v>
      </c>
      <c r="U665" s="4">
        <f t="shared" si="126"/>
        <v>0</v>
      </c>
      <c r="W665" s="4">
        <f t="shared" si="124"/>
        <v>0</v>
      </c>
      <c r="Y665" s="4">
        <f t="shared" si="125"/>
        <v>0</v>
      </c>
    </row>
    <row r="666" spans="1:25" hidden="1" outlineLevel="1" x14ac:dyDescent="0.35">
      <c r="A666" s="39" t="s">
        <v>1740</v>
      </c>
      <c r="B666" s="39" t="s">
        <v>109</v>
      </c>
      <c r="C666" s="39" t="s">
        <v>109</v>
      </c>
      <c r="D666" s="39" t="s">
        <v>109</v>
      </c>
      <c r="E666" s="40" t="s">
        <v>109</v>
      </c>
      <c r="F666" s="39" t="s">
        <v>41</v>
      </c>
      <c r="G666" s="39" t="s">
        <v>109</v>
      </c>
      <c r="H666" s="47">
        <v>0</v>
      </c>
      <c r="I666" s="36">
        <f t="shared" si="119"/>
        <v>0</v>
      </c>
      <c r="J666" s="37">
        <f t="shared" si="117"/>
        <v>0</v>
      </c>
      <c r="K666" s="37">
        <f t="shared" si="118"/>
        <v>0</v>
      </c>
      <c r="M666" s="37">
        <f t="shared" si="120"/>
        <v>0</v>
      </c>
      <c r="O666" s="4">
        <f t="shared" si="121"/>
        <v>0</v>
      </c>
      <c r="Q666" s="4">
        <f t="shared" si="122"/>
        <v>0</v>
      </c>
      <c r="S666" s="4">
        <f t="shared" si="123"/>
        <v>0</v>
      </c>
      <c r="U666" s="4">
        <f t="shared" si="126"/>
        <v>0</v>
      </c>
      <c r="W666" s="4">
        <f t="shared" si="124"/>
        <v>0</v>
      </c>
      <c r="Y666" s="4">
        <f t="shared" si="125"/>
        <v>0</v>
      </c>
    </row>
    <row r="667" spans="1:25" hidden="1" outlineLevel="1" x14ac:dyDescent="0.35">
      <c r="A667" s="39" t="s">
        <v>1741</v>
      </c>
      <c r="B667" s="39" t="s">
        <v>109</v>
      </c>
      <c r="C667" s="39" t="s">
        <v>109</v>
      </c>
      <c r="D667" s="39" t="s">
        <v>109</v>
      </c>
      <c r="E667" s="40" t="s">
        <v>109</v>
      </c>
      <c r="F667" s="39" t="s">
        <v>41</v>
      </c>
      <c r="G667" s="39" t="s">
        <v>109</v>
      </c>
      <c r="H667" s="47">
        <v>0</v>
      </c>
      <c r="I667" s="36">
        <f t="shared" si="119"/>
        <v>0</v>
      </c>
      <c r="J667" s="37">
        <f t="shared" si="117"/>
        <v>0</v>
      </c>
      <c r="K667" s="37">
        <f t="shared" si="118"/>
        <v>0</v>
      </c>
      <c r="M667" s="37">
        <f t="shared" si="120"/>
        <v>0</v>
      </c>
      <c r="O667" s="4">
        <f t="shared" si="121"/>
        <v>0</v>
      </c>
      <c r="Q667" s="4">
        <f t="shared" si="122"/>
        <v>0</v>
      </c>
      <c r="S667" s="4">
        <f t="shared" si="123"/>
        <v>0</v>
      </c>
      <c r="U667" s="4">
        <f t="shared" si="126"/>
        <v>0</v>
      </c>
      <c r="W667" s="4">
        <f t="shared" si="124"/>
        <v>0</v>
      </c>
      <c r="Y667" s="4">
        <f t="shared" si="125"/>
        <v>0</v>
      </c>
    </row>
    <row r="668" spans="1:25" hidden="1" outlineLevel="1" x14ac:dyDescent="0.35">
      <c r="A668" s="39" t="s">
        <v>1742</v>
      </c>
      <c r="B668" s="39" t="s">
        <v>109</v>
      </c>
      <c r="C668" s="39" t="s">
        <v>109</v>
      </c>
      <c r="D668" s="39" t="s">
        <v>109</v>
      </c>
      <c r="E668" s="40" t="s">
        <v>109</v>
      </c>
      <c r="F668" s="39" t="s">
        <v>41</v>
      </c>
      <c r="G668" s="39" t="s">
        <v>109</v>
      </c>
      <c r="H668" s="47">
        <v>0</v>
      </c>
      <c r="I668" s="36">
        <f t="shared" si="119"/>
        <v>0</v>
      </c>
      <c r="J668" s="37">
        <f t="shared" si="117"/>
        <v>0</v>
      </c>
      <c r="K668" s="37">
        <f t="shared" si="118"/>
        <v>0</v>
      </c>
      <c r="M668" s="37">
        <f t="shared" si="120"/>
        <v>0</v>
      </c>
      <c r="O668" s="4">
        <f t="shared" si="121"/>
        <v>0</v>
      </c>
      <c r="Q668" s="4">
        <f t="shared" si="122"/>
        <v>0</v>
      </c>
      <c r="S668" s="4">
        <f t="shared" si="123"/>
        <v>0</v>
      </c>
      <c r="U668" s="4">
        <f t="shared" si="126"/>
        <v>0</v>
      </c>
      <c r="W668" s="4">
        <f t="shared" si="124"/>
        <v>0</v>
      </c>
      <c r="Y668" s="4">
        <f t="shared" si="125"/>
        <v>0</v>
      </c>
    </row>
    <row r="669" spans="1:25" hidden="1" outlineLevel="1" x14ac:dyDescent="0.35">
      <c r="A669" s="39" t="s">
        <v>1743</v>
      </c>
      <c r="B669" s="39" t="s">
        <v>109</v>
      </c>
      <c r="C669" s="39" t="s">
        <v>109</v>
      </c>
      <c r="D669" s="39" t="s">
        <v>109</v>
      </c>
      <c r="E669" s="40" t="s">
        <v>109</v>
      </c>
      <c r="F669" s="39" t="s">
        <v>41</v>
      </c>
      <c r="G669" s="39" t="s">
        <v>109</v>
      </c>
      <c r="H669" s="47">
        <v>0</v>
      </c>
      <c r="I669" s="36">
        <f t="shared" si="119"/>
        <v>0</v>
      </c>
      <c r="J669" s="37">
        <f t="shared" si="117"/>
        <v>0</v>
      </c>
      <c r="K669" s="37">
        <f t="shared" si="118"/>
        <v>0</v>
      </c>
      <c r="M669" s="37">
        <f t="shared" si="120"/>
        <v>0</v>
      </c>
      <c r="O669" s="4">
        <f t="shared" si="121"/>
        <v>0</v>
      </c>
      <c r="Q669" s="4">
        <f t="shared" si="122"/>
        <v>0</v>
      </c>
      <c r="S669" s="4">
        <f t="shared" si="123"/>
        <v>0</v>
      </c>
      <c r="U669" s="4">
        <f t="shared" si="126"/>
        <v>0</v>
      </c>
      <c r="W669" s="4">
        <f t="shared" si="124"/>
        <v>0</v>
      </c>
      <c r="Y669" s="4">
        <f t="shared" si="125"/>
        <v>0</v>
      </c>
    </row>
    <row r="670" spans="1:25" hidden="1" outlineLevel="1" x14ac:dyDescent="0.35">
      <c r="A670" s="39" t="s">
        <v>1744</v>
      </c>
      <c r="B670" s="39" t="s">
        <v>109</v>
      </c>
      <c r="C670" s="39" t="s">
        <v>109</v>
      </c>
      <c r="D670" s="39" t="s">
        <v>109</v>
      </c>
      <c r="E670" s="40" t="s">
        <v>109</v>
      </c>
      <c r="F670" s="39" t="s">
        <v>41</v>
      </c>
      <c r="G670" s="39" t="s">
        <v>109</v>
      </c>
      <c r="H670" s="47">
        <v>0</v>
      </c>
      <c r="I670" s="36">
        <f t="shared" si="119"/>
        <v>0</v>
      </c>
      <c r="J670" s="37">
        <f t="shared" si="117"/>
        <v>0</v>
      </c>
      <c r="K670" s="37">
        <f t="shared" si="118"/>
        <v>0</v>
      </c>
      <c r="M670" s="37">
        <f t="shared" si="120"/>
        <v>0</v>
      </c>
      <c r="O670" s="4">
        <f t="shared" si="121"/>
        <v>0</v>
      </c>
      <c r="Q670" s="4">
        <f t="shared" si="122"/>
        <v>0</v>
      </c>
      <c r="S670" s="4">
        <f t="shared" si="123"/>
        <v>0</v>
      </c>
      <c r="U670" s="4">
        <f t="shared" si="126"/>
        <v>0</v>
      </c>
      <c r="W670" s="4">
        <f t="shared" si="124"/>
        <v>0</v>
      </c>
      <c r="Y670" s="4">
        <f t="shared" si="125"/>
        <v>0</v>
      </c>
    </row>
    <row r="671" spans="1:25" hidden="1" outlineLevel="1" x14ac:dyDescent="0.35">
      <c r="A671" s="39" t="s">
        <v>1745</v>
      </c>
      <c r="B671" s="39" t="s">
        <v>109</v>
      </c>
      <c r="C671" s="39" t="s">
        <v>109</v>
      </c>
      <c r="D671" s="39" t="s">
        <v>109</v>
      </c>
      <c r="E671" s="40" t="s">
        <v>109</v>
      </c>
      <c r="F671" s="39" t="s">
        <v>41</v>
      </c>
      <c r="G671" s="39" t="s">
        <v>109</v>
      </c>
      <c r="H671" s="47">
        <v>0</v>
      </c>
      <c r="I671" s="36">
        <f t="shared" si="119"/>
        <v>0</v>
      </c>
      <c r="J671" s="37">
        <f t="shared" si="117"/>
        <v>0</v>
      </c>
      <c r="K671" s="37">
        <f t="shared" si="118"/>
        <v>0</v>
      </c>
      <c r="M671" s="37">
        <f t="shared" si="120"/>
        <v>0</v>
      </c>
      <c r="O671" s="4">
        <f t="shared" si="121"/>
        <v>0</v>
      </c>
      <c r="Q671" s="4">
        <f t="shared" si="122"/>
        <v>0</v>
      </c>
      <c r="S671" s="4">
        <f t="shared" si="123"/>
        <v>0</v>
      </c>
      <c r="U671" s="4">
        <f t="shared" si="126"/>
        <v>0</v>
      </c>
      <c r="W671" s="4">
        <f t="shared" si="124"/>
        <v>0</v>
      </c>
      <c r="Y671" s="4">
        <f t="shared" si="125"/>
        <v>0</v>
      </c>
    </row>
    <row r="672" spans="1:25" hidden="1" outlineLevel="1" x14ac:dyDescent="0.35">
      <c r="A672" s="39" t="s">
        <v>1746</v>
      </c>
      <c r="B672" s="39" t="s">
        <v>109</v>
      </c>
      <c r="C672" s="39" t="s">
        <v>109</v>
      </c>
      <c r="D672" s="39" t="s">
        <v>109</v>
      </c>
      <c r="E672" s="40" t="s">
        <v>109</v>
      </c>
      <c r="F672" s="39" t="s">
        <v>41</v>
      </c>
      <c r="G672" s="39" t="s">
        <v>109</v>
      </c>
      <c r="H672" s="47">
        <v>0</v>
      </c>
      <c r="I672" s="36">
        <f t="shared" si="119"/>
        <v>0</v>
      </c>
      <c r="J672" s="37">
        <f t="shared" si="117"/>
        <v>0</v>
      </c>
      <c r="K672" s="37">
        <f t="shared" si="118"/>
        <v>0</v>
      </c>
      <c r="M672" s="37">
        <f t="shared" si="120"/>
        <v>0</v>
      </c>
      <c r="O672" s="4">
        <f t="shared" si="121"/>
        <v>0</v>
      </c>
      <c r="Q672" s="4">
        <f t="shared" si="122"/>
        <v>0</v>
      </c>
      <c r="S672" s="4">
        <f t="shared" si="123"/>
        <v>0</v>
      </c>
      <c r="U672" s="4">
        <f t="shared" si="126"/>
        <v>0</v>
      </c>
      <c r="W672" s="4">
        <f t="shared" si="124"/>
        <v>0</v>
      </c>
      <c r="Y672" s="4">
        <f t="shared" si="125"/>
        <v>0</v>
      </c>
    </row>
    <row r="673" spans="1:25" hidden="1" outlineLevel="1" x14ac:dyDescent="0.35">
      <c r="A673" s="39" t="s">
        <v>1747</v>
      </c>
      <c r="B673" s="39" t="s">
        <v>109</v>
      </c>
      <c r="C673" s="39" t="s">
        <v>109</v>
      </c>
      <c r="D673" s="39" t="s">
        <v>109</v>
      </c>
      <c r="E673" s="40" t="s">
        <v>109</v>
      </c>
      <c r="F673" s="39" t="s">
        <v>41</v>
      </c>
      <c r="G673" s="39" t="s">
        <v>109</v>
      </c>
      <c r="H673" s="47">
        <v>0</v>
      </c>
      <c r="I673" s="36">
        <f t="shared" si="119"/>
        <v>0</v>
      </c>
      <c r="J673" s="37">
        <f t="shared" si="117"/>
        <v>0</v>
      </c>
      <c r="K673" s="37">
        <f t="shared" si="118"/>
        <v>0</v>
      </c>
      <c r="M673" s="37">
        <f t="shared" si="120"/>
        <v>0</v>
      </c>
      <c r="O673" s="4">
        <f t="shared" si="121"/>
        <v>0</v>
      </c>
      <c r="Q673" s="4">
        <f t="shared" si="122"/>
        <v>0</v>
      </c>
      <c r="S673" s="4">
        <f t="shared" si="123"/>
        <v>0</v>
      </c>
      <c r="U673" s="4">
        <f t="shared" si="126"/>
        <v>0</v>
      </c>
      <c r="W673" s="4">
        <f t="shared" si="124"/>
        <v>0</v>
      </c>
      <c r="Y673" s="4">
        <f t="shared" si="125"/>
        <v>0</v>
      </c>
    </row>
    <row r="674" spans="1:25" hidden="1" outlineLevel="1" x14ac:dyDescent="0.35">
      <c r="A674" s="39" t="s">
        <v>1748</v>
      </c>
      <c r="B674" s="39" t="s">
        <v>109</v>
      </c>
      <c r="C674" s="39" t="s">
        <v>109</v>
      </c>
      <c r="D674" s="39" t="s">
        <v>109</v>
      </c>
      <c r="E674" s="40" t="s">
        <v>109</v>
      </c>
      <c r="F674" s="39" t="s">
        <v>41</v>
      </c>
      <c r="G674" s="39" t="s">
        <v>109</v>
      </c>
      <c r="H674" s="47">
        <v>0</v>
      </c>
      <c r="I674" s="36">
        <f t="shared" si="119"/>
        <v>0</v>
      </c>
      <c r="J674" s="37">
        <f t="shared" si="117"/>
        <v>0</v>
      </c>
      <c r="K674" s="37">
        <f t="shared" si="118"/>
        <v>0</v>
      </c>
      <c r="M674" s="37">
        <f t="shared" si="120"/>
        <v>0</v>
      </c>
      <c r="O674" s="4">
        <f t="shared" si="121"/>
        <v>0</v>
      </c>
      <c r="Q674" s="4">
        <f t="shared" si="122"/>
        <v>0</v>
      </c>
      <c r="S674" s="4">
        <f t="shared" si="123"/>
        <v>0</v>
      </c>
      <c r="U674" s="4">
        <f t="shared" si="126"/>
        <v>0</v>
      </c>
      <c r="W674" s="4">
        <f t="shared" si="124"/>
        <v>0</v>
      </c>
      <c r="Y674" s="4">
        <f t="shared" si="125"/>
        <v>0</v>
      </c>
    </row>
    <row r="675" spans="1:25" hidden="1" outlineLevel="1" x14ac:dyDescent="0.35">
      <c r="A675" s="39" t="s">
        <v>1749</v>
      </c>
      <c r="B675" s="39" t="s">
        <v>109</v>
      </c>
      <c r="C675" s="39" t="s">
        <v>109</v>
      </c>
      <c r="D675" s="39" t="s">
        <v>109</v>
      </c>
      <c r="E675" s="40" t="s">
        <v>109</v>
      </c>
      <c r="F675" s="39" t="s">
        <v>41</v>
      </c>
      <c r="G675" s="39" t="s">
        <v>109</v>
      </c>
      <c r="H675" s="47">
        <v>0</v>
      </c>
      <c r="I675" s="36">
        <f t="shared" si="119"/>
        <v>0</v>
      </c>
      <c r="J675" s="37">
        <f t="shared" si="117"/>
        <v>0</v>
      </c>
      <c r="K675" s="37">
        <f t="shared" si="118"/>
        <v>0</v>
      </c>
      <c r="M675" s="37">
        <f t="shared" si="120"/>
        <v>0</v>
      </c>
      <c r="O675" s="4">
        <f t="shared" si="121"/>
        <v>0</v>
      </c>
      <c r="Q675" s="4">
        <f t="shared" si="122"/>
        <v>0</v>
      </c>
      <c r="S675" s="4">
        <f t="shared" si="123"/>
        <v>0</v>
      </c>
      <c r="U675" s="4">
        <f t="shared" si="126"/>
        <v>0</v>
      </c>
      <c r="W675" s="4">
        <f t="shared" si="124"/>
        <v>0</v>
      </c>
      <c r="Y675" s="4">
        <f t="shared" si="125"/>
        <v>0</v>
      </c>
    </row>
    <row r="676" spans="1:25" hidden="1" outlineLevel="1" x14ac:dyDescent="0.35">
      <c r="A676" s="39" t="s">
        <v>1750</v>
      </c>
      <c r="B676" s="39" t="s">
        <v>109</v>
      </c>
      <c r="C676" s="39" t="s">
        <v>109</v>
      </c>
      <c r="D676" s="39" t="s">
        <v>109</v>
      </c>
      <c r="E676" s="40" t="s">
        <v>109</v>
      </c>
      <c r="F676" s="39" t="s">
        <v>41</v>
      </c>
      <c r="G676" s="39" t="s">
        <v>109</v>
      </c>
      <c r="H676" s="47">
        <v>0</v>
      </c>
      <c r="I676" s="36">
        <f t="shared" si="119"/>
        <v>0</v>
      </c>
      <c r="J676" s="37">
        <f t="shared" si="117"/>
        <v>0</v>
      </c>
      <c r="K676" s="37">
        <f t="shared" si="118"/>
        <v>0</v>
      </c>
      <c r="M676" s="37">
        <f t="shared" si="120"/>
        <v>0</v>
      </c>
      <c r="O676" s="4">
        <f t="shared" si="121"/>
        <v>0</v>
      </c>
      <c r="Q676" s="4">
        <f t="shared" si="122"/>
        <v>0</v>
      </c>
      <c r="S676" s="4">
        <f t="shared" si="123"/>
        <v>0</v>
      </c>
      <c r="U676" s="4">
        <f t="shared" si="126"/>
        <v>0</v>
      </c>
      <c r="W676" s="4">
        <f t="shared" si="124"/>
        <v>0</v>
      </c>
      <c r="Y676" s="4">
        <f t="shared" si="125"/>
        <v>0</v>
      </c>
    </row>
    <row r="677" spans="1:25" hidden="1" outlineLevel="1" x14ac:dyDescent="0.35">
      <c r="A677" s="39" t="s">
        <v>1751</v>
      </c>
      <c r="B677" s="39" t="s">
        <v>109</v>
      </c>
      <c r="C677" s="39" t="s">
        <v>109</v>
      </c>
      <c r="D677" s="39" t="s">
        <v>109</v>
      </c>
      <c r="E677" s="40" t="s">
        <v>109</v>
      </c>
      <c r="F677" s="39" t="s">
        <v>41</v>
      </c>
      <c r="G677" s="39" t="s">
        <v>109</v>
      </c>
      <c r="H677" s="47">
        <v>0</v>
      </c>
      <c r="I677" s="36">
        <f t="shared" si="119"/>
        <v>0</v>
      </c>
      <c r="J677" s="37">
        <f t="shared" si="117"/>
        <v>0</v>
      </c>
      <c r="K677" s="37">
        <f t="shared" si="118"/>
        <v>0</v>
      </c>
      <c r="M677" s="37">
        <f t="shared" si="120"/>
        <v>0</v>
      </c>
      <c r="O677" s="4">
        <f t="shared" si="121"/>
        <v>0</v>
      </c>
      <c r="Q677" s="4">
        <f t="shared" si="122"/>
        <v>0</v>
      </c>
      <c r="S677" s="4">
        <f t="shared" si="123"/>
        <v>0</v>
      </c>
      <c r="U677" s="4">
        <f t="shared" si="126"/>
        <v>0</v>
      </c>
      <c r="W677" s="4">
        <f t="shared" si="124"/>
        <v>0</v>
      </c>
      <c r="Y677" s="4">
        <f t="shared" si="125"/>
        <v>0</v>
      </c>
    </row>
    <row r="678" spans="1:25" hidden="1" outlineLevel="1" x14ac:dyDescent="0.35">
      <c r="A678" s="39" t="s">
        <v>1752</v>
      </c>
      <c r="B678" s="39" t="s">
        <v>109</v>
      </c>
      <c r="C678" s="39" t="s">
        <v>109</v>
      </c>
      <c r="D678" s="39" t="s">
        <v>109</v>
      </c>
      <c r="E678" s="40" t="s">
        <v>109</v>
      </c>
      <c r="F678" s="39" t="s">
        <v>41</v>
      </c>
      <c r="G678" s="39" t="s">
        <v>109</v>
      </c>
      <c r="H678" s="47">
        <v>0</v>
      </c>
      <c r="I678" s="36">
        <f t="shared" si="119"/>
        <v>0</v>
      </c>
      <c r="J678" s="37">
        <f t="shared" si="117"/>
        <v>0</v>
      </c>
      <c r="K678" s="37">
        <f t="shared" si="118"/>
        <v>0</v>
      </c>
      <c r="M678" s="37">
        <f t="shared" si="120"/>
        <v>0</v>
      </c>
      <c r="O678" s="4">
        <f t="shared" si="121"/>
        <v>0</v>
      </c>
      <c r="Q678" s="4">
        <f t="shared" si="122"/>
        <v>0</v>
      </c>
      <c r="S678" s="4">
        <f t="shared" si="123"/>
        <v>0</v>
      </c>
      <c r="U678" s="4">
        <f t="shared" si="126"/>
        <v>0</v>
      </c>
      <c r="W678" s="4">
        <f t="shared" si="124"/>
        <v>0</v>
      </c>
      <c r="Y678" s="4">
        <f t="shared" si="125"/>
        <v>0</v>
      </c>
    </row>
    <row r="679" spans="1:25" hidden="1" outlineLevel="1" x14ac:dyDescent="0.35">
      <c r="A679" s="39" t="s">
        <v>1753</v>
      </c>
      <c r="B679" s="39" t="s">
        <v>109</v>
      </c>
      <c r="C679" s="39" t="s">
        <v>109</v>
      </c>
      <c r="D679" s="39" t="s">
        <v>109</v>
      </c>
      <c r="E679" s="40" t="s">
        <v>109</v>
      </c>
      <c r="F679" s="39" t="s">
        <v>41</v>
      </c>
      <c r="G679" s="39" t="s">
        <v>109</v>
      </c>
      <c r="H679" s="47">
        <v>0</v>
      </c>
      <c r="I679" s="36">
        <f t="shared" si="119"/>
        <v>0</v>
      </c>
      <c r="J679" s="37">
        <f t="shared" si="117"/>
        <v>0</v>
      </c>
      <c r="K679" s="37">
        <f t="shared" si="118"/>
        <v>0</v>
      </c>
      <c r="M679" s="37">
        <f t="shared" si="120"/>
        <v>0</v>
      </c>
      <c r="O679" s="4">
        <f t="shared" si="121"/>
        <v>0</v>
      </c>
      <c r="Q679" s="4">
        <f t="shared" si="122"/>
        <v>0</v>
      </c>
      <c r="S679" s="4">
        <f t="shared" si="123"/>
        <v>0</v>
      </c>
      <c r="U679" s="4">
        <f t="shared" si="126"/>
        <v>0</v>
      </c>
      <c r="W679" s="4">
        <f t="shared" si="124"/>
        <v>0</v>
      </c>
      <c r="Y679" s="4">
        <f t="shared" si="125"/>
        <v>0</v>
      </c>
    </row>
    <row r="680" spans="1:25" hidden="1" outlineLevel="1" x14ac:dyDescent="0.35">
      <c r="A680" s="39" t="s">
        <v>1754</v>
      </c>
      <c r="B680" s="39" t="s">
        <v>109</v>
      </c>
      <c r="C680" s="39" t="s">
        <v>109</v>
      </c>
      <c r="D680" s="39" t="s">
        <v>109</v>
      </c>
      <c r="E680" s="40" t="s">
        <v>109</v>
      </c>
      <c r="F680" s="39" t="s">
        <v>41</v>
      </c>
      <c r="G680" s="39" t="s">
        <v>109</v>
      </c>
      <c r="H680" s="47">
        <v>0</v>
      </c>
      <c r="I680" s="36">
        <f t="shared" si="119"/>
        <v>0</v>
      </c>
      <c r="J680" s="37">
        <f t="shared" si="117"/>
        <v>0</v>
      </c>
      <c r="K680" s="37">
        <f t="shared" si="118"/>
        <v>0</v>
      </c>
      <c r="M680" s="37">
        <f t="shared" si="120"/>
        <v>0</v>
      </c>
      <c r="O680" s="4">
        <f t="shared" si="121"/>
        <v>0</v>
      </c>
      <c r="Q680" s="4">
        <f t="shared" si="122"/>
        <v>0</v>
      </c>
      <c r="S680" s="4">
        <f t="shared" si="123"/>
        <v>0</v>
      </c>
      <c r="U680" s="4">
        <f t="shared" si="126"/>
        <v>0</v>
      </c>
      <c r="W680" s="4">
        <f t="shared" si="124"/>
        <v>0</v>
      </c>
      <c r="Y680" s="4">
        <f t="shared" si="125"/>
        <v>0</v>
      </c>
    </row>
    <row r="681" spans="1:25" hidden="1" outlineLevel="1" x14ac:dyDescent="0.35">
      <c r="A681" s="39" t="s">
        <v>1755</v>
      </c>
      <c r="B681" s="39" t="s">
        <v>109</v>
      </c>
      <c r="C681" s="39" t="s">
        <v>109</v>
      </c>
      <c r="D681" s="39" t="s">
        <v>109</v>
      </c>
      <c r="E681" s="40" t="s">
        <v>109</v>
      </c>
      <c r="F681" s="39" t="s">
        <v>41</v>
      </c>
      <c r="G681" s="39" t="s">
        <v>109</v>
      </c>
      <c r="H681" s="47">
        <v>0</v>
      </c>
      <c r="I681" s="36">
        <f t="shared" si="119"/>
        <v>0</v>
      </c>
      <c r="J681" s="37">
        <f t="shared" si="117"/>
        <v>0</v>
      </c>
      <c r="K681" s="37">
        <f t="shared" si="118"/>
        <v>0</v>
      </c>
      <c r="M681" s="37">
        <f t="shared" si="120"/>
        <v>0</v>
      </c>
      <c r="O681" s="4">
        <f t="shared" si="121"/>
        <v>0</v>
      </c>
      <c r="Q681" s="4">
        <f t="shared" si="122"/>
        <v>0</v>
      </c>
      <c r="S681" s="4">
        <f t="shared" si="123"/>
        <v>0</v>
      </c>
      <c r="U681" s="4">
        <f t="shared" si="126"/>
        <v>0</v>
      </c>
      <c r="W681" s="4">
        <f t="shared" si="124"/>
        <v>0</v>
      </c>
      <c r="Y681" s="4">
        <f t="shared" si="125"/>
        <v>0</v>
      </c>
    </row>
    <row r="682" spans="1:25" hidden="1" outlineLevel="1" x14ac:dyDescent="0.35">
      <c r="A682" s="39" t="s">
        <v>1756</v>
      </c>
      <c r="B682" s="39" t="s">
        <v>109</v>
      </c>
      <c r="C682" s="39" t="s">
        <v>109</v>
      </c>
      <c r="D682" s="39" t="s">
        <v>109</v>
      </c>
      <c r="E682" s="40" t="s">
        <v>109</v>
      </c>
      <c r="F682" s="39" t="s">
        <v>41</v>
      </c>
      <c r="G682" s="39" t="s">
        <v>109</v>
      </c>
      <c r="H682" s="47">
        <v>0</v>
      </c>
      <c r="I682" s="36">
        <f t="shared" si="119"/>
        <v>0</v>
      </c>
      <c r="J682" s="37">
        <f t="shared" si="117"/>
        <v>0</v>
      </c>
      <c r="K682" s="37">
        <f t="shared" si="118"/>
        <v>0</v>
      </c>
      <c r="M682" s="37">
        <f t="shared" si="120"/>
        <v>0</v>
      </c>
      <c r="O682" s="4">
        <f t="shared" si="121"/>
        <v>0</v>
      </c>
      <c r="Q682" s="4">
        <f t="shared" si="122"/>
        <v>0</v>
      </c>
      <c r="S682" s="4">
        <f t="shared" si="123"/>
        <v>0</v>
      </c>
      <c r="U682" s="4">
        <f t="shared" si="126"/>
        <v>0</v>
      </c>
      <c r="W682" s="4">
        <f t="shared" si="124"/>
        <v>0</v>
      </c>
      <c r="Y682" s="4">
        <f t="shared" si="125"/>
        <v>0</v>
      </c>
    </row>
    <row r="683" spans="1:25" hidden="1" outlineLevel="1" x14ac:dyDescent="0.35">
      <c r="A683" s="39" t="s">
        <v>1757</v>
      </c>
      <c r="B683" s="39" t="s">
        <v>109</v>
      </c>
      <c r="C683" s="39" t="s">
        <v>109</v>
      </c>
      <c r="D683" s="39" t="s">
        <v>109</v>
      </c>
      <c r="E683" s="40" t="s">
        <v>109</v>
      </c>
      <c r="F683" s="39" t="s">
        <v>41</v>
      </c>
      <c r="G683" s="39" t="s">
        <v>109</v>
      </c>
      <c r="H683" s="47">
        <v>0</v>
      </c>
      <c r="I683" s="36">
        <f t="shared" si="119"/>
        <v>0</v>
      </c>
      <c r="J683" s="37">
        <f t="shared" si="117"/>
        <v>0</v>
      </c>
      <c r="K683" s="37">
        <f t="shared" si="118"/>
        <v>0</v>
      </c>
      <c r="M683" s="37">
        <f t="shared" si="120"/>
        <v>0</v>
      </c>
      <c r="O683" s="4">
        <f t="shared" si="121"/>
        <v>0</v>
      </c>
      <c r="Q683" s="4">
        <f t="shared" si="122"/>
        <v>0</v>
      </c>
      <c r="S683" s="4">
        <f t="shared" si="123"/>
        <v>0</v>
      </c>
      <c r="U683" s="4">
        <f t="shared" si="126"/>
        <v>0</v>
      </c>
      <c r="W683" s="4">
        <f t="shared" si="124"/>
        <v>0</v>
      </c>
      <c r="Y683" s="4">
        <f t="shared" si="125"/>
        <v>0</v>
      </c>
    </row>
    <row r="684" spans="1:25" hidden="1" outlineLevel="1" x14ac:dyDescent="0.35">
      <c r="A684" s="39" t="s">
        <v>1758</v>
      </c>
      <c r="B684" s="39" t="s">
        <v>109</v>
      </c>
      <c r="C684" s="39" t="s">
        <v>109</v>
      </c>
      <c r="D684" s="39" t="s">
        <v>109</v>
      </c>
      <c r="E684" s="40" t="s">
        <v>109</v>
      </c>
      <c r="F684" s="39" t="s">
        <v>41</v>
      </c>
      <c r="G684" s="39" t="s">
        <v>109</v>
      </c>
      <c r="H684" s="47">
        <v>0</v>
      </c>
      <c r="I684" s="36">
        <f t="shared" si="119"/>
        <v>0</v>
      </c>
      <c r="J684" s="37">
        <f t="shared" ref="J684:J747" si="127">H684*$F$7</f>
        <v>0</v>
      </c>
      <c r="K684" s="37">
        <f t="shared" ref="K684:K747" si="128">H684*$G$7</f>
        <v>0</v>
      </c>
      <c r="M684" s="37">
        <f t="shared" si="120"/>
        <v>0</v>
      </c>
      <c r="O684" s="4">
        <f t="shared" si="121"/>
        <v>0</v>
      </c>
      <c r="Q684" s="4">
        <f t="shared" si="122"/>
        <v>0</v>
      </c>
      <c r="S684" s="4">
        <f t="shared" si="123"/>
        <v>0</v>
      </c>
      <c r="U684" s="4">
        <f t="shared" si="126"/>
        <v>0</v>
      </c>
      <c r="W684" s="4">
        <f t="shared" si="124"/>
        <v>0</v>
      </c>
      <c r="Y684" s="4">
        <f t="shared" si="125"/>
        <v>0</v>
      </c>
    </row>
    <row r="685" spans="1:25" hidden="1" outlineLevel="1" x14ac:dyDescent="0.35">
      <c r="A685" s="39" t="s">
        <v>1759</v>
      </c>
      <c r="B685" s="39" t="s">
        <v>109</v>
      </c>
      <c r="C685" s="39" t="s">
        <v>109</v>
      </c>
      <c r="D685" s="39" t="s">
        <v>109</v>
      </c>
      <c r="E685" s="40" t="s">
        <v>109</v>
      </c>
      <c r="F685" s="39" t="s">
        <v>41</v>
      </c>
      <c r="G685" s="39" t="s">
        <v>109</v>
      </c>
      <c r="H685" s="47">
        <v>0</v>
      </c>
      <c r="I685" s="36">
        <f t="shared" ref="I685:I748" si="129">$E$7*H685</f>
        <v>0</v>
      </c>
      <c r="J685" s="37">
        <f t="shared" si="127"/>
        <v>0</v>
      </c>
      <c r="K685" s="37">
        <f t="shared" si="128"/>
        <v>0</v>
      </c>
      <c r="M685" s="37">
        <f t="shared" ref="M685:M748" si="130">0.5*(AVERAGE(J685:K685))</f>
        <v>0</v>
      </c>
      <c r="O685" s="4">
        <f t="shared" ref="O685:O748" si="131">I685*$E$3</f>
        <v>0</v>
      </c>
      <c r="Q685" s="4">
        <f t="shared" ref="Q685:Q748" si="132">I685*$E$3/12</f>
        <v>0</v>
      </c>
      <c r="S685" s="4">
        <f t="shared" ref="S685:S748" si="133">Q685*$E$4</f>
        <v>0</v>
      </c>
      <c r="U685" s="4">
        <f t="shared" si="126"/>
        <v>0</v>
      </c>
      <c r="W685" s="4">
        <f t="shared" ref="W685:W748" si="134">S685*$E$5</f>
        <v>0</v>
      </c>
      <c r="Y685" s="4">
        <f t="shared" ref="Y685:Y748" si="135">M685*$E$6</f>
        <v>0</v>
      </c>
    </row>
    <row r="686" spans="1:25" hidden="1" outlineLevel="1" x14ac:dyDescent="0.35">
      <c r="A686" s="39" t="s">
        <v>1760</v>
      </c>
      <c r="B686" s="39" t="s">
        <v>109</v>
      </c>
      <c r="C686" s="39" t="s">
        <v>109</v>
      </c>
      <c r="D686" s="39" t="s">
        <v>109</v>
      </c>
      <c r="E686" s="40" t="s">
        <v>109</v>
      </c>
      <c r="F686" s="39" t="s">
        <v>41</v>
      </c>
      <c r="G686" s="39" t="s">
        <v>109</v>
      </c>
      <c r="H686" s="47">
        <v>0</v>
      </c>
      <c r="I686" s="36">
        <f t="shared" si="129"/>
        <v>0</v>
      </c>
      <c r="J686" s="37">
        <f t="shared" si="127"/>
        <v>0</v>
      </c>
      <c r="K686" s="37">
        <f t="shared" si="128"/>
        <v>0</v>
      </c>
      <c r="M686" s="37">
        <f t="shared" si="130"/>
        <v>0</v>
      </c>
      <c r="O686" s="4">
        <f t="shared" si="131"/>
        <v>0</v>
      </c>
      <c r="Q686" s="4">
        <f t="shared" si="132"/>
        <v>0</v>
      </c>
      <c r="S686" s="4">
        <f t="shared" si="133"/>
        <v>0</v>
      </c>
      <c r="U686" s="4">
        <f t="shared" ref="U686:U749" si="136">W686*12</f>
        <v>0</v>
      </c>
      <c r="W686" s="4">
        <f t="shared" si="134"/>
        <v>0</v>
      </c>
      <c r="Y686" s="4">
        <f t="shared" si="135"/>
        <v>0</v>
      </c>
    </row>
    <row r="687" spans="1:25" hidden="1" outlineLevel="1" x14ac:dyDescent="0.35">
      <c r="A687" s="39" t="s">
        <v>1761</v>
      </c>
      <c r="B687" s="39" t="s">
        <v>109</v>
      </c>
      <c r="C687" s="39" t="s">
        <v>109</v>
      </c>
      <c r="D687" s="39" t="s">
        <v>109</v>
      </c>
      <c r="E687" s="40" t="s">
        <v>109</v>
      </c>
      <c r="F687" s="39" t="s">
        <v>41</v>
      </c>
      <c r="G687" s="39" t="s">
        <v>109</v>
      </c>
      <c r="H687" s="47">
        <v>0</v>
      </c>
      <c r="I687" s="36">
        <f t="shared" si="129"/>
        <v>0</v>
      </c>
      <c r="J687" s="37">
        <f t="shared" si="127"/>
        <v>0</v>
      </c>
      <c r="K687" s="37">
        <f t="shared" si="128"/>
        <v>0</v>
      </c>
      <c r="M687" s="37">
        <f t="shared" si="130"/>
        <v>0</v>
      </c>
      <c r="O687" s="4">
        <f t="shared" si="131"/>
        <v>0</v>
      </c>
      <c r="Q687" s="4">
        <f t="shared" si="132"/>
        <v>0</v>
      </c>
      <c r="S687" s="4">
        <f t="shared" si="133"/>
        <v>0</v>
      </c>
      <c r="U687" s="4">
        <f t="shared" si="136"/>
        <v>0</v>
      </c>
      <c r="W687" s="4">
        <f t="shared" si="134"/>
        <v>0</v>
      </c>
      <c r="Y687" s="4">
        <f t="shared" si="135"/>
        <v>0</v>
      </c>
    </row>
    <row r="688" spans="1:25" hidden="1" outlineLevel="1" x14ac:dyDescent="0.35">
      <c r="A688" s="39" t="s">
        <v>1762</v>
      </c>
      <c r="B688" s="39" t="s">
        <v>109</v>
      </c>
      <c r="C688" s="39" t="s">
        <v>109</v>
      </c>
      <c r="D688" s="39" t="s">
        <v>109</v>
      </c>
      <c r="E688" s="40" t="s">
        <v>109</v>
      </c>
      <c r="F688" s="39" t="s">
        <v>41</v>
      </c>
      <c r="G688" s="39" t="s">
        <v>109</v>
      </c>
      <c r="H688" s="47">
        <v>0</v>
      </c>
      <c r="I688" s="36">
        <f t="shared" si="129"/>
        <v>0</v>
      </c>
      <c r="J688" s="37">
        <f t="shared" si="127"/>
        <v>0</v>
      </c>
      <c r="K688" s="37">
        <f t="shared" si="128"/>
        <v>0</v>
      </c>
      <c r="M688" s="37">
        <f t="shared" si="130"/>
        <v>0</v>
      </c>
      <c r="O688" s="4">
        <f t="shared" si="131"/>
        <v>0</v>
      </c>
      <c r="Q688" s="4">
        <f t="shared" si="132"/>
        <v>0</v>
      </c>
      <c r="S688" s="4">
        <f t="shared" si="133"/>
        <v>0</v>
      </c>
      <c r="U688" s="4">
        <f t="shared" si="136"/>
        <v>0</v>
      </c>
      <c r="W688" s="4">
        <f t="shared" si="134"/>
        <v>0</v>
      </c>
      <c r="Y688" s="4">
        <f t="shared" si="135"/>
        <v>0</v>
      </c>
    </row>
    <row r="689" spans="1:25" hidden="1" outlineLevel="1" x14ac:dyDescent="0.35">
      <c r="A689" s="39" t="s">
        <v>1763</v>
      </c>
      <c r="B689" s="39" t="s">
        <v>109</v>
      </c>
      <c r="C689" s="39" t="s">
        <v>109</v>
      </c>
      <c r="D689" s="39" t="s">
        <v>109</v>
      </c>
      <c r="E689" s="40" t="s">
        <v>109</v>
      </c>
      <c r="F689" s="39" t="s">
        <v>41</v>
      </c>
      <c r="G689" s="39" t="s">
        <v>109</v>
      </c>
      <c r="H689" s="47">
        <v>0</v>
      </c>
      <c r="I689" s="36">
        <f t="shared" si="129"/>
        <v>0</v>
      </c>
      <c r="J689" s="37">
        <f t="shared" si="127"/>
        <v>0</v>
      </c>
      <c r="K689" s="37">
        <f t="shared" si="128"/>
        <v>0</v>
      </c>
      <c r="M689" s="37">
        <f t="shared" si="130"/>
        <v>0</v>
      </c>
      <c r="O689" s="4">
        <f t="shared" si="131"/>
        <v>0</v>
      </c>
      <c r="Q689" s="4">
        <f t="shared" si="132"/>
        <v>0</v>
      </c>
      <c r="S689" s="4">
        <f t="shared" si="133"/>
        <v>0</v>
      </c>
      <c r="U689" s="4">
        <f t="shared" si="136"/>
        <v>0</v>
      </c>
      <c r="W689" s="4">
        <f t="shared" si="134"/>
        <v>0</v>
      </c>
      <c r="Y689" s="4">
        <f t="shared" si="135"/>
        <v>0</v>
      </c>
    </row>
    <row r="690" spans="1:25" hidden="1" outlineLevel="1" x14ac:dyDescent="0.35">
      <c r="A690" s="39" t="s">
        <v>1764</v>
      </c>
      <c r="B690" s="39" t="s">
        <v>109</v>
      </c>
      <c r="C690" s="39" t="s">
        <v>109</v>
      </c>
      <c r="D690" s="39" t="s">
        <v>109</v>
      </c>
      <c r="E690" s="40" t="s">
        <v>109</v>
      </c>
      <c r="F690" s="39" t="s">
        <v>41</v>
      </c>
      <c r="G690" s="39" t="s">
        <v>109</v>
      </c>
      <c r="H690" s="47">
        <v>0</v>
      </c>
      <c r="I690" s="36">
        <f t="shared" si="129"/>
        <v>0</v>
      </c>
      <c r="J690" s="37">
        <f t="shared" si="127"/>
        <v>0</v>
      </c>
      <c r="K690" s="37">
        <f t="shared" si="128"/>
        <v>0</v>
      </c>
      <c r="M690" s="37">
        <f t="shared" si="130"/>
        <v>0</v>
      </c>
      <c r="O690" s="4">
        <f t="shared" si="131"/>
        <v>0</v>
      </c>
      <c r="Q690" s="4">
        <f t="shared" si="132"/>
        <v>0</v>
      </c>
      <c r="S690" s="4">
        <f t="shared" si="133"/>
        <v>0</v>
      </c>
      <c r="U690" s="4">
        <f t="shared" si="136"/>
        <v>0</v>
      </c>
      <c r="W690" s="4">
        <f t="shared" si="134"/>
        <v>0</v>
      </c>
      <c r="Y690" s="4">
        <f t="shared" si="135"/>
        <v>0</v>
      </c>
    </row>
    <row r="691" spans="1:25" hidden="1" outlineLevel="1" x14ac:dyDescent="0.35">
      <c r="A691" s="39" t="s">
        <v>1765</v>
      </c>
      <c r="B691" s="39" t="s">
        <v>109</v>
      </c>
      <c r="C691" s="39" t="s">
        <v>109</v>
      </c>
      <c r="D691" s="39" t="s">
        <v>109</v>
      </c>
      <c r="E691" s="40" t="s">
        <v>109</v>
      </c>
      <c r="F691" s="39" t="s">
        <v>41</v>
      </c>
      <c r="G691" s="39" t="s">
        <v>109</v>
      </c>
      <c r="H691" s="47">
        <v>0</v>
      </c>
      <c r="I691" s="36">
        <f t="shared" si="129"/>
        <v>0</v>
      </c>
      <c r="J691" s="37">
        <f t="shared" si="127"/>
        <v>0</v>
      </c>
      <c r="K691" s="37">
        <f t="shared" si="128"/>
        <v>0</v>
      </c>
      <c r="M691" s="37">
        <f t="shared" si="130"/>
        <v>0</v>
      </c>
      <c r="O691" s="4">
        <f t="shared" si="131"/>
        <v>0</v>
      </c>
      <c r="Q691" s="4">
        <f t="shared" si="132"/>
        <v>0</v>
      </c>
      <c r="S691" s="4">
        <f t="shared" si="133"/>
        <v>0</v>
      </c>
      <c r="U691" s="4">
        <f t="shared" si="136"/>
        <v>0</v>
      </c>
      <c r="W691" s="4">
        <f t="shared" si="134"/>
        <v>0</v>
      </c>
      <c r="Y691" s="4">
        <f t="shared" si="135"/>
        <v>0</v>
      </c>
    </row>
    <row r="692" spans="1:25" hidden="1" outlineLevel="1" x14ac:dyDescent="0.35">
      <c r="A692" s="39" t="s">
        <v>1766</v>
      </c>
      <c r="B692" s="39" t="s">
        <v>109</v>
      </c>
      <c r="C692" s="39" t="s">
        <v>109</v>
      </c>
      <c r="D692" s="39" t="s">
        <v>109</v>
      </c>
      <c r="E692" s="40" t="s">
        <v>109</v>
      </c>
      <c r="F692" s="39" t="s">
        <v>41</v>
      </c>
      <c r="G692" s="39" t="s">
        <v>109</v>
      </c>
      <c r="H692" s="47">
        <v>0</v>
      </c>
      <c r="I692" s="36">
        <f t="shared" si="129"/>
        <v>0</v>
      </c>
      <c r="J692" s="37">
        <f t="shared" si="127"/>
        <v>0</v>
      </c>
      <c r="K692" s="37">
        <f t="shared" si="128"/>
        <v>0</v>
      </c>
      <c r="M692" s="37">
        <f t="shared" si="130"/>
        <v>0</v>
      </c>
      <c r="O692" s="4">
        <f t="shared" si="131"/>
        <v>0</v>
      </c>
      <c r="Q692" s="4">
        <f t="shared" si="132"/>
        <v>0</v>
      </c>
      <c r="S692" s="4">
        <f t="shared" si="133"/>
        <v>0</v>
      </c>
      <c r="U692" s="4">
        <f t="shared" si="136"/>
        <v>0</v>
      </c>
      <c r="W692" s="4">
        <f t="shared" si="134"/>
        <v>0</v>
      </c>
      <c r="Y692" s="4">
        <f t="shared" si="135"/>
        <v>0</v>
      </c>
    </row>
    <row r="693" spans="1:25" hidden="1" outlineLevel="1" x14ac:dyDescent="0.35">
      <c r="A693" s="39" t="s">
        <v>1767</v>
      </c>
      <c r="B693" s="39" t="s">
        <v>109</v>
      </c>
      <c r="C693" s="39" t="s">
        <v>109</v>
      </c>
      <c r="D693" s="39" t="s">
        <v>109</v>
      </c>
      <c r="E693" s="40" t="s">
        <v>109</v>
      </c>
      <c r="F693" s="39" t="s">
        <v>41</v>
      </c>
      <c r="G693" s="39" t="s">
        <v>109</v>
      </c>
      <c r="H693" s="47">
        <v>0</v>
      </c>
      <c r="I693" s="36">
        <f t="shared" si="129"/>
        <v>0</v>
      </c>
      <c r="J693" s="37">
        <f t="shared" si="127"/>
        <v>0</v>
      </c>
      <c r="K693" s="37">
        <f t="shared" si="128"/>
        <v>0</v>
      </c>
      <c r="M693" s="37">
        <f t="shared" si="130"/>
        <v>0</v>
      </c>
      <c r="O693" s="4">
        <f t="shared" si="131"/>
        <v>0</v>
      </c>
      <c r="Q693" s="4">
        <f t="shared" si="132"/>
        <v>0</v>
      </c>
      <c r="S693" s="4">
        <f t="shared" si="133"/>
        <v>0</v>
      </c>
      <c r="U693" s="4">
        <f t="shared" si="136"/>
        <v>0</v>
      </c>
      <c r="W693" s="4">
        <f t="shared" si="134"/>
        <v>0</v>
      </c>
      <c r="Y693" s="4">
        <f t="shared" si="135"/>
        <v>0</v>
      </c>
    </row>
    <row r="694" spans="1:25" hidden="1" outlineLevel="1" x14ac:dyDescent="0.35">
      <c r="A694" s="39" t="s">
        <v>1768</v>
      </c>
      <c r="B694" s="39" t="s">
        <v>109</v>
      </c>
      <c r="C694" s="39" t="s">
        <v>109</v>
      </c>
      <c r="D694" s="39" t="s">
        <v>109</v>
      </c>
      <c r="E694" s="40" t="s">
        <v>109</v>
      </c>
      <c r="F694" s="39" t="s">
        <v>101</v>
      </c>
      <c r="G694" s="39" t="s">
        <v>109</v>
      </c>
      <c r="H694" s="47">
        <v>0</v>
      </c>
      <c r="I694" s="36">
        <f t="shared" si="129"/>
        <v>0</v>
      </c>
      <c r="J694" s="37">
        <f t="shared" si="127"/>
        <v>0</v>
      </c>
      <c r="K694" s="37">
        <f t="shared" si="128"/>
        <v>0</v>
      </c>
      <c r="M694" s="37">
        <f t="shared" si="130"/>
        <v>0</v>
      </c>
      <c r="O694" s="4">
        <f t="shared" si="131"/>
        <v>0</v>
      </c>
      <c r="Q694" s="4">
        <f t="shared" si="132"/>
        <v>0</v>
      </c>
      <c r="S694" s="4">
        <f t="shared" si="133"/>
        <v>0</v>
      </c>
      <c r="U694" s="4">
        <f t="shared" si="136"/>
        <v>0</v>
      </c>
      <c r="W694" s="4">
        <f t="shared" si="134"/>
        <v>0</v>
      </c>
      <c r="Y694" s="4">
        <f t="shared" si="135"/>
        <v>0</v>
      </c>
    </row>
    <row r="695" spans="1:25" hidden="1" outlineLevel="1" x14ac:dyDescent="0.35">
      <c r="A695" s="39" t="s">
        <v>1769</v>
      </c>
      <c r="B695" s="39" t="s">
        <v>109</v>
      </c>
      <c r="C695" s="39" t="s">
        <v>109</v>
      </c>
      <c r="D695" s="39" t="s">
        <v>109</v>
      </c>
      <c r="E695" s="40" t="s">
        <v>109</v>
      </c>
      <c r="F695" s="39" t="s">
        <v>41</v>
      </c>
      <c r="G695" s="39" t="s">
        <v>109</v>
      </c>
      <c r="H695" s="47">
        <v>0</v>
      </c>
      <c r="I695" s="36">
        <f t="shared" si="129"/>
        <v>0</v>
      </c>
      <c r="J695" s="37">
        <f t="shared" si="127"/>
        <v>0</v>
      </c>
      <c r="K695" s="37">
        <f t="shared" si="128"/>
        <v>0</v>
      </c>
      <c r="M695" s="37">
        <f t="shared" si="130"/>
        <v>0</v>
      </c>
      <c r="O695" s="4">
        <f t="shared" si="131"/>
        <v>0</v>
      </c>
      <c r="Q695" s="4">
        <f t="shared" si="132"/>
        <v>0</v>
      </c>
      <c r="S695" s="4">
        <f t="shared" si="133"/>
        <v>0</v>
      </c>
      <c r="U695" s="4">
        <f t="shared" si="136"/>
        <v>0</v>
      </c>
      <c r="W695" s="4">
        <f t="shared" si="134"/>
        <v>0</v>
      </c>
      <c r="Y695" s="4">
        <f t="shared" si="135"/>
        <v>0</v>
      </c>
    </row>
    <row r="696" spans="1:25" hidden="1" outlineLevel="1" x14ac:dyDescent="0.35">
      <c r="A696" s="39" t="s">
        <v>1770</v>
      </c>
      <c r="B696" s="39" t="s">
        <v>109</v>
      </c>
      <c r="C696" s="39" t="s">
        <v>109</v>
      </c>
      <c r="D696" s="39" t="s">
        <v>109</v>
      </c>
      <c r="E696" s="40" t="s">
        <v>109</v>
      </c>
      <c r="F696" s="39" t="s">
        <v>41</v>
      </c>
      <c r="G696" s="39" t="s">
        <v>109</v>
      </c>
      <c r="H696" s="47">
        <v>0</v>
      </c>
      <c r="I696" s="36">
        <f t="shared" si="129"/>
        <v>0</v>
      </c>
      <c r="J696" s="37">
        <f t="shared" si="127"/>
        <v>0</v>
      </c>
      <c r="K696" s="37">
        <f t="shared" si="128"/>
        <v>0</v>
      </c>
      <c r="M696" s="37">
        <f t="shared" si="130"/>
        <v>0</v>
      </c>
      <c r="O696" s="4">
        <f t="shared" si="131"/>
        <v>0</v>
      </c>
      <c r="Q696" s="4">
        <f t="shared" si="132"/>
        <v>0</v>
      </c>
      <c r="S696" s="4">
        <f t="shared" si="133"/>
        <v>0</v>
      </c>
      <c r="U696" s="4">
        <f t="shared" si="136"/>
        <v>0</v>
      </c>
      <c r="W696" s="4">
        <f t="shared" si="134"/>
        <v>0</v>
      </c>
      <c r="Y696" s="4">
        <f t="shared" si="135"/>
        <v>0</v>
      </c>
    </row>
    <row r="697" spans="1:25" hidden="1" outlineLevel="1" x14ac:dyDescent="0.35">
      <c r="A697" s="39" t="s">
        <v>1771</v>
      </c>
      <c r="B697" s="39" t="s">
        <v>109</v>
      </c>
      <c r="C697" s="39" t="s">
        <v>109</v>
      </c>
      <c r="D697" s="39" t="s">
        <v>109</v>
      </c>
      <c r="E697" s="40" t="s">
        <v>109</v>
      </c>
      <c r="F697" s="39" t="s">
        <v>101</v>
      </c>
      <c r="G697" s="39" t="s">
        <v>109</v>
      </c>
      <c r="H697" s="47">
        <v>0</v>
      </c>
      <c r="I697" s="36">
        <f t="shared" si="129"/>
        <v>0</v>
      </c>
      <c r="J697" s="37">
        <f t="shared" si="127"/>
        <v>0</v>
      </c>
      <c r="K697" s="37">
        <f t="shared" si="128"/>
        <v>0</v>
      </c>
      <c r="M697" s="37">
        <f t="shared" si="130"/>
        <v>0</v>
      </c>
      <c r="O697" s="4">
        <f t="shared" si="131"/>
        <v>0</v>
      </c>
      <c r="Q697" s="4">
        <f t="shared" si="132"/>
        <v>0</v>
      </c>
      <c r="S697" s="4">
        <f t="shared" si="133"/>
        <v>0</v>
      </c>
      <c r="U697" s="4">
        <f t="shared" si="136"/>
        <v>0</v>
      </c>
      <c r="W697" s="4">
        <f t="shared" si="134"/>
        <v>0</v>
      </c>
      <c r="Y697" s="4">
        <f t="shared" si="135"/>
        <v>0</v>
      </c>
    </row>
    <row r="698" spans="1:25" hidden="1" outlineLevel="1" x14ac:dyDescent="0.35">
      <c r="A698" s="39" t="s">
        <v>1772</v>
      </c>
      <c r="B698" s="39" t="s">
        <v>109</v>
      </c>
      <c r="C698" s="39" t="s">
        <v>109</v>
      </c>
      <c r="D698" s="39" t="s">
        <v>109</v>
      </c>
      <c r="E698" s="40" t="s">
        <v>109</v>
      </c>
      <c r="F698" s="39" t="s">
        <v>41</v>
      </c>
      <c r="G698" s="39" t="s">
        <v>109</v>
      </c>
      <c r="H698" s="47">
        <v>0</v>
      </c>
      <c r="I698" s="36">
        <f t="shared" si="129"/>
        <v>0</v>
      </c>
      <c r="J698" s="37">
        <f t="shared" si="127"/>
        <v>0</v>
      </c>
      <c r="K698" s="37">
        <f t="shared" si="128"/>
        <v>0</v>
      </c>
      <c r="M698" s="37">
        <f t="shared" si="130"/>
        <v>0</v>
      </c>
      <c r="O698" s="4">
        <f t="shared" si="131"/>
        <v>0</v>
      </c>
      <c r="Q698" s="4">
        <f t="shared" si="132"/>
        <v>0</v>
      </c>
      <c r="S698" s="4">
        <f t="shared" si="133"/>
        <v>0</v>
      </c>
      <c r="U698" s="4">
        <f t="shared" si="136"/>
        <v>0</v>
      </c>
      <c r="W698" s="4">
        <f t="shared" si="134"/>
        <v>0</v>
      </c>
      <c r="Y698" s="4">
        <f t="shared" si="135"/>
        <v>0</v>
      </c>
    </row>
    <row r="699" spans="1:25" hidden="1" outlineLevel="1" x14ac:dyDescent="0.35">
      <c r="A699" s="39" t="s">
        <v>1773</v>
      </c>
      <c r="B699" s="39" t="s">
        <v>109</v>
      </c>
      <c r="C699" s="39" t="s">
        <v>109</v>
      </c>
      <c r="D699" s="39" t="s">
        <v>109</v>
      </c>
      <c r="E699" s="40" t="s">
        <v>109</v>
      </c>
      <c r="F699" s="39" t="s">
        <v>41</v>
      </c>
      <c r="G699" s="39" t="s">
        <v>109</v>
      </c>
      <c r="H699" s="47">
        <v>0</v>
      </c>
      <c r="I699" s="36">
        <f t="shared" si="129"/>
        <v>0</v>
      </c>
      <c r="J699" s="37">
        <f t="shared" si="127"/>
        <v>0</v>
      </c>
      <c r="K699" s="37">
        <f t="shared" si="128"/>
        <v>0</v>
      </c>
      <c r="M699" s="37">
        <f t="shared" si="130"/>
        <v>0</v>
      </c>
      <c r="O699" s="4">
        <f t="shared" si="131"/>
        <v>0</v>
      </c>
      <c r="Q699" s="4">
        <f t="shared" si="132"/>
        <v>0</v>
      </c>
      <c r="S699" s="4">
        <f t="shared" si="133"/>
        <v>0</v>
      </c>
      <c r="U699" s="4">
        <f t="shared" si="136"/>
        <v>0</v>
      </c>
      <c r="W699" s="4">
        <f t="shared" si="134"/>
        <v>0</v>
      </c>
      <c r="Y699" s="4">
        <f t="shared" si="135"/>
        <v>0</v>
      </c>
    </row>
    <row r="700" spans="1:25" hidden="1" outlineLevel="1" x14ac:dyDescent="0.35">
      <c r="A700" s="39" t="s">
        <v>1774</v>
      </c>
      <c r="B700" s="39" t="s">
        <v>109</v>
      </c>
      <c r="C700" s="39" t="s">
        <v>109</v>
      </c>
      <c r="D700" s="39" t="s">
        <v>109</v>
      </c>
      <c r="E700" s="40" t="s">
        <v>109</v>
      </c>
      <c r="F700" s="39" t="s">
        <v>41</v>
      </c>
      <c r="G700" s="39" t="s">
        <v>109</v>
      </c>
      <c r="H700" s="47">
        <v>0</v>
      </c>
      <c r="I700" s="36">
        <f t="shared" si="129"/>
        <v>0</v>
      </c>
      <c r="J700" s="37">
        <f t="shared" si="127"/>
        <v>0</v>
      </c>
      <c r="K700" s="37">
        <f t="shared" si="128"/>
        <v>0</v>
      </c>
      <c r="M700" s="37">
        <f t="shared" si="130"/>
        <v>0</v>
      </c>
      <c r="O700" s="4">
        <f t="shared" si="131"/>
        <v>0</v>
      </c>
      <c r="Q700" s="4">
        <f t="shared" si="132"/>
        <v>0</v>
      </c>
      <c r="S700" s="4">
        <f t="shared" si="133"/>
        <v>0</v>
      </c>
      <c r="U700" s="4">
        <f t="shared" si="136"/>
        <v>0</v>
      </c>
      <c r="W700" s="4">
        <f t="shared" si="134"/>
        <v>0</v>
      </c>
      <c r="Y700" s="4">
        <f t="shared" si="135"/>
        <v>0</v>
      </c>
    </row>
    <row r="701" spans="1:25" hidden="1" outlineLevel="1" x14ac:dyDescent="0.35">
      <c r="A701" s="39" t="s">
        <v>1775</v>
      </c>
      <c r="B701" s="39" t="s">
        <v>109</v>
      </c>
      <c r="C701" s="39" t="s">
        <v>109</v>
      </c>
      <c r="D701" s="39" t="s">
        <v>109</v>
      </c>
      <c r="E701" s="40" t="s">
        <v>109</v>
      </c>
      <c r="F701" s="39" t="s">
        <v>41</v>
      </c>
      <c r="G701" s="39" t="s">
        <v>109</v>
      </c>
      <c r="H701" s="47">
        <v>0</v>
      </c>
      <c r="I701" s="36">
        <f t="shared" si="129"/>
        <v>0</v>
      </c>
      <c r="J701" s="37">
        <f t="shared" si="127"/>
        <v>0</v>
      </c>
      <c r="K701" s="37">
        <f t="shared" si="128"/>
        <v>0</v>
      </c>
      <c r="M701" s="37">
        <f t="shared" si="130"/>
        <v>0</v>
      </c>
      <c r="O701" s="4">
        <f t="shared" si="131"/>
        <v>0</v>
      </c>
      <c r="Q701" s="4">
        <f t="shared" si="132"/>
        <v>0</v>
      </c>
      <c r="S701" s="4">
        <f t="shared" si="133"/>
        <v>0</v>
      </c>
      <c r="U701" s="4">
        <f t="shared" si="136"/>
        <v>0</v>
      </c>
      <c r="W701" s="4">
        <f t="shared" si="134"/>
        <v>0</v>
      </c>
      <c r="Y701" s="4">
        <f t="shared" si="135"/>
        <v>0</v>
      </c>
    </row>
    <row r="702" spans="1:25" hidden="1" outlineLevel="1" x14ac:dyDescent="0.35">
      <c r="A702" s="39" t="s">
        <v>1776</v>
      </c>
      <c r="B702" s="39" t="s">
        <v>109</v>
      </c>
      <c r="C702" s="39" t="s">
        <v>109</v>
      </c>
      <c r="D702" s="39" t="s">
        <v>109</v>
      </c>
      <c r="E702" s="40" t="s">
        <v>109</v>
      </c>
      <c r="F702" s="39" t="s">
        <v>41</v>
      </c>
      <c r="G702" s="39" t="s">
        <v>109</v>
      </c>
      <c r="H702" s="47">
        <v>0</v>
      </c>
      <c r="I702" s="36">
        <f t="shared" si="129"/>
        <v>0</v>
      </c>
      <c r="J702" s="37">
        <f t="shared" si="127"/>
        <v>0</v>
      </c>
      <c r="K702" s="37">
        <f t="shared" si="128"/>
        <v>0</v>
      </c>
      <c r="M702" s="37">
        <f t="shared" si="130"/>
        <v>0</v>
      </c>
      <c r="O702" s="4">
        <f t="shared" si="131"/>
        <v>0</v>
      </c>
      <c r="Q702" s="4">
        <f t="shared" si="132"/>
        <v>0</v>
      </c>
      <c r="S702" s="4">
        <f t="shared" si="133"/>
        <v>0</v>
      </c>
      <c r="U702" s="4">
        <f t="shared" si="136"/>
        <v>0</v>
      </c>
      <c r="W702" s="4">
        <f t="shared" si="134"/>
        <v>0</v>
      </c>
      <c r="Y702" s="4">
        <f t="shared" si="135"/>
        <v>0</v>
      </c>
    </row>
    <row r="703" spans="1:25" hidden="1" outlineLevel="1" x14ac:dyDescent="0.35">
      <c r="A703" s="39" t="s">
        <v>1777</v>
      </c>
      <c r="B703" s="39" t="s">
        <v>109</v>
      </c>
      <c r="C703" s="39" t="s">
        <v>109</v>
      </c>
      <c r="D703" s="39" t="s">
        <v>109</v>
      </c>
      <c r="E703" s="40" t="s">
        <v>109</v>
      </c>
      <c r="F703" s="39" t="s">
        <v>41</v>
      </c>
      <c r="G703" s="39" t="s">
        <v>109</v>
      </c>
      <c r="H703" s="47">
        <v>0</v>
      </c>
      <c r="I703" s="36">
        <f t="shared" si="129"/>
        <v>0</v>
      </c>
      <c r="J703" s="37">
        <f t="shared" si="127"/>
        <v>0</v>
      </c>
      <c r="K703" s="37">
        <f t="shared" si="128"/>
        <v>0</v>
      </c>
      <c r="M703" s="37">
        <f t="shared" si="130"/>
        <v>0</v>
      </c>
      <c r="O703" s="4">
        <f t="shared" si="131"/>
        <v>0</v>
      </c>
      <c r="Q703" s="4">
        <f t="shared" si="132"/>
        <v>0</v>
      </c>
      <c r="S703" s="4">
        <f t="shared" si="133"/>
        <v>0</v>
      </c>
      <c r="U703" s="4">
        <f t="shared" si="136"/>
        <v>0</v>
      </c>
      <c r="W703" s="4">
        <f t="shared" si="134"/>
        <v>0</v>
      </c>
      <c r="Y703" s="4">
        <f t="shared" si="135"/>
        <v>0</v>
      </c>
    </row>
    <row r="704" spans="1:25" hidden="1" outlineLevel="1" x14ac:dyDescent="0.35">
      <c r="A704" s="39" t="s">
        <v>1778</v>
      </c>
      <c r="B704" s="39" t="s">
        <v>109</v>
      </c>
      <c r="C704" s="39" t="s">
        <v>109</v>
      </c>
      <c r="D704" s="39" t="s">
        <v>109</v>
      </c>
      <c r="E704" s="40" t="s">
        <v>109</v>
      </c>
      <c r="F704" s="39" t="s">
        <v>41</v>
      </c>
      <c r="G704" s="39" t="s">
        <v>109</v>
      </c>
      <c r="H704" s="47">
        <v>0</v>
      </c>
      <c r="I704" s="36">
        <f t="shared" si="129"/>
        <v>0</v>
      </c>
      <c r="J704" s="37">
        <f t="shared" si="127"/>
        <v>0</v>
      </c>
      <c r="K704" s="37">
        <f t="shared" si="128"/>
        <v>0</v>
      </c>
      <c r="M704" s="37">
        <f t="shared" si="130"/>
        <v>0</v>
      </c>
      <c r="O704" s="4">
        <f t="shared" si="131"/>
        <v>0</v>
      </c>
      <c r="Q704" s="4">
        <f t="shared" si="132"/>
        <v>0</v>
      </c>
      <c r="S704" s="4">
        <f t="shared" si="133"/>
        <v>0</v>
      </c>
      <c r="U704" s="4">
        <f t="shared" si="136"/>
        <v>0</v>
      </c>
      <c r="W704" s="4">
        <f t="shared" si="134"/>
        <v>0</v>
      </c>
      <c r="Y704" s="4">
        <f t="shared" si="135"/>
        <v>0</v>
      </c>
    </row>
    <row r="705" spans="1:25" hidden="1" outlineLevel="1" x14ac:dyDescent="0.35">
      <c r="A705" s="39" t="s">
        <v>1779</v>
      </c>
      <c r="B705" s="39" t="s">
        <v>109</v>
      </c>
      <c r="C705" s="39" t="s">
        <v>109</v>
      </c>
      <c r="D705" s="39" t="s">
        <v>109</v>
      </c>
      <c r="E705" s="40" t="s">
        <v>109</v>
      </c>
      <c r="F705" s="39" t="s">
        <v>41</v>
      </c>
      <c r="G705" s="39" t="s">
        <v>109</v>
      </c>
      <c r="H705" s="47">
        <v>0</v>
      </c>
      <c r="I705" s="36">
        <f t="shared" si="129"/>
        <v>0</v>
      </c>
      <c r="J705" s="37">
        <f t="shared" si="127"/>
        <v>0</v>
      </c>
      <c r="K705" s="37">
        <f t="shared" si="128"/>
        <v>0</v>
      </c>
      <c r="M705" s="37">
        <f t="shared" si="130"/>
        <v>0</v>
      </c>
      <c r="O705" s="4">
        <f t="shared" si="131"/>
        <v>0</v>
      </c>
      <c r="Q705" s="4">
        <f t="shared" si="132"/>
        <v>0</v>
      </c>
      <c r="S705" s="4">
        <f t="shared" si="133"/>
        <v>0</v>
      </c>
      <c r="U705" s="4">
        <f t="shared" si="136"/>
        <v>0</v>
      </c>
      <c r="W705" s="4">
        <f t="shared" si="134"/>
        <v>0</v>
      </c>
      <c r="Y705" s="4">
        <f t="shared" si="135"/>
        <v>0</v>
      </c>
    </row>
    <row r="706" spans="1:25" hidden="1" outlineLevel="1" x14ac:dyDescent="0.35">
      <c r="A706" s="39" t="s">
        <v>1780</v>
      </c>
      <c r="B706" s="39" t="s">
        <v>109</v>
      </c>
      <c r="C706" s="39" t="s">
        <v>109</v>
      </c>
      <c r="D706" s="39" t="s">
        <v>109</v>
      </c>
      <c r="E706" s="40" t="s">
        <v>109</v>
      </c>
      <c r="F706" s="39" t="s">
        <v>41</v>
      </c>
      <c r="G706" s="39" t="s">
        <v>109</v>
      </c>
      <c r="H706" s="47">
        <v>0</v>
      </c>
      <c r="I706" s="36">
        <f t="shared" si="129"/>
        <v>0</v>
      </c>
      <c r="J706" s="37">
        <f t="shared" si="127"/>
        <v>0</v>
      </c>
      <c r="K706" s="37">
        <f t="shared" si="128"/>
        <v>0</v>
      </c>
      <c r="M706" s="37">
        <f t="shared" si="130"/>
        <v>0</v>
      </c>
      <c r="O706" s="4">
        <f t="shared" si="131"/>
        <v>0</v>
      </c>
      <c r="Q706" s="4">
        <f t="shared" si="132"/>
        <v>0</v>
      </c>
      <c r="S706" s="4">
        <f t="shared" si="133"/>
        <v>0</v>
      </c>
      <c r="U706" s="4">
        <f t="shared" si="136"/>
        <v>0</v>
      </c>
      <c r="W706" s="4">
        <f t="shared" si="134"/>
        <v>0</v>
      </c>
      <c r="Y706" s="4">
        <f t="shared" si="135"/>
        <v>0</v>
      </c>
    </row>
    <row r="707" spans="1:25" hidden="1" outlineLevel="1" x14ac:dyDescent="0.35">
      <c r="A707" s="39" t="s">
        <v>1781</v>
      </c>
      <c r="B707" s="39" t="s">
        <v>109</v>
      </c>
      <c r="C707" s="39" t="s">
        <v>109</v>
      </c>
      <c r="D707" s="39" t="s">
        <v>109</v>
      </c>
      <c r="E707" s="40" t="s">
        <v>109</v>
      </c>
      <c r="F707" s="39" t="s">
        <v>41</v>
      </c>
      <c r="G707" s="39" t="s">
        <v>109</v>
      </c>
      <c r="H707" s="47">
        <v>0</v>
      </c>
      <c r="I707" s="36">
        <f t="shared" si="129"/>
        <v>0</v>
      </c>
      <c r="J707" s="37">
        <f t="shared" si="127"/>
        <v>0</v>
      </c>
      <c r="K707" s="37">
        <f t="shared" si="128"/>
        <v>0</v>
      </c>
      <c r="M707" s="37">
        <f t="shared" si="130"/>
        <v>0</v>
      </c>
      <c r="O707" s="4">
        <f t="shared" si="131"/>
        <v>0</v>
      </c>
      <c r="Q707" s="4">
        <f t="shared" si="132"/>
        <v>0</v>
      </c>
      <c r="S707" s="4">
        <f t="shared" si="133"/>
        <v>0</v>
      </c>
      <c r="U707" s="4">
        <f t="shared" si="136"/>
        <v>0</v>
      </c>
      <c r="W707" s="4">
        <f t="shared" si="134"/>
        <v>0</v>
      </c>
      <c r="Y707" s="4">
        <f t="shared" si="135"/>
        <v>0</v>
      </c>
    </row>
    <row r="708" spans="1:25" hidden="1" outlineLevel="1" x14ac:dyDescent="0.35">
      <c r="A708" s="39" t="s">
        <v>1782</v>
      </c>
      <c r="B708" s="39" t="s">
        <v>109</v>
      </c>
      <c r="C708" s="39" t="s">
        <v>109</v>
      </c>
      <c r="D708" s="39" t="s">
        <v>109</v>
      </c>
      <c r="E708" s="40" t="s">
        <v>109</v>
      </c>
      <c r="F708" s="39" t="s">
        <v>41</v>
      </c>
      <c r="G708" s="39" t="s">
        <v>109</v>
      </c>
      <c r="H708" s="47">
        <v>0</v>
      </c>
      <c r="I708" s="36">
        <f t="shared" si="129"/>
        <v>0</v>
      </c>
      <c r="J708" s="37">
        <f t="shared" si="127"/>
        <v>0</v>
      </c>
      <c r="K708" s="37">
        <f t="shared" si="128"/>
        <v>0</v>
      </c>
      <c r="M708" s="37">
        <f t="shared" si="130"/>
        <v>0</v>
      </c>
      <c r="O708" s="4">
        <f t="shared" si="131"/>
        <v>0</v>
      </c>
      <c r="Q708" s="4">
        <f t="shared" si="132"/>
        <v>0</v>
      </c>
      <c r="S708" s="4">
        <f t="shared" si="133"/>
        <v>0</v>
      </c>
      <c r="U708" s="4">
        <f t="shared" si="136"/>
        <v>0</v>
      </c>
      <c r="W708" s="4">
        <f t="shared" si="134"/>
        <v>0</v>
      </c>
      <c r="Y708" s="4">
        <f t="shared" si="135"/>
        <v>0</v>
      </c>
    </row>
    <row r="709" spans="1:25" hidden="1" outlineLevel="1" x14ac:dyDescent="0.35">
      <c r="A709" s="39" t="s">
        <v>1783</v>
      </c>
      <c r="B709" s="39" t="s">
        <v>109</v>
      </c>
      <c r="C709" s="39" t="s">
        <v>109</v>
      </c>
      <c r="D709" s="39" t="s">
        <v>109</v>
      </c>
      <c r="E709" s="40" t="s">
        <v>109</v>
      </c>
      <c r="F709" s="39" t="s">
        <v>41</v>
      </c>
      <c r="G709" s="39" t="s">
        <v>109</v>
      </c>
      <c r="H709" s="47">
        <v>0</v>
      </c>
      <c r="I709" s="36">
        <f t="shared" si="129"/>
        <v>0</v>
      </c>
      <c r="J709" s="37">
        <f t="shared" si="127"/>
        <v>0</v>
      </c>
      <c r="K709" s="37">
        <f t="shared" si="128"/>
        <v>0</v>
      </c>
      <c r="M709" s="37">
        <f t="shared" si="130"/>
        <v>0</v>
      </c>
      <c r="O709" s="4">
        <f t="shared" si="131"/>
        <v>0</v>
      </c>
      <c r="Q709" s="4">
        <f t="shared" si="132"/>
        <v>0</v>
      </c>
      <c r="S709" s="4">
        <f t="shared" si="133"/>
        <v>0</v>
      </c>
      <c r="U709" s="4">
        <f t="shared" si="136"/>
        <v>0</v>
      </c>
      <c r="W709" s="4">
        <f t="shared" si="134"/>
        <v>0</v>
      </c>
      <c r="Y709" s="4">
        <f t="shared" si="135"/>
        <v>0</v>
      </c>
    </row>
    <row r="710" spans="1:25" hidden="1" outlineLevel="1" x14ac:dyDescent="0.35">
      <c r="A710" s="39" t="s">
        <v>1784</v>
      </c>
      <c r="B710" s="39" t="s">
        <v>109</v>
      </c>
      <c r="C710" s="39" t="s">
        <v>109</v>
      </c>
      <c r="D710" s="39" t="s">
        <v>109</v>
      </c>
      <c r="E710" s="40" t="s">
        <v>109</v>
      </c>
      <c r="F710" s="39" t="s">
        <v>41</v>
      </c>
      <c r="G710" s="39" t="s">
        <v>109</v>
      </c>
      <c r="H710" s="47">
        <v>0</v>
      </c>
      <c r="I710" s="36">
        <f t="shared" si="129"/>
        <v>0</v>
      </c>
      <c r="J710" s="37">
        <f t="shared" si="127"/>
        <v>0</v>
      </c>
      <c r="K710" s="37">
        <f t="shared" si="128"/>
        <v>0</v>
      </c>
      <c r="M710" s="37">
        <f t="shared" si="130"/>
        <v>0</v>
      </c>
      <c r="O710" s="4">
        <f t="shared" si="131"/>
        <v>0</v>
      </c>
      <c r="Q710" s="4">
        <f t="shared" si="132"/>
        <v>0</v>
      </c>
      <c r="S710" s="4">
        <f t="shared" si="133"/>
        <v>0</v>
      </c>
      <c r="U710" s="4">
        <f t="shared" si="136"/>
        <v>0</v>
      </c>
      <c r="W710" s="4">
        <f t="shared" si="134"/>
        <v>0</v>
      </c>
      <c r="Y710" s="4">
        <f t="shared" si="135"/>
        <v>0</v>
      </c>
    </row>
    <row r="711" spans="1:25" hidden="1" outlineLevel="1" x14ac:dyDescent="0.35">
      <c r="A711" s="39" t="s">
        <v>1785</v>
      </c>
      <c r="B711" s="39" t="s">
        <v>109</v>
      </c>
      <c r="C711" s="39" t="s">
        <v>109</v>
      </c>
      <c r="D711" s="39" t="s">
        <v>109</v>
      </c>
      <c r="E711" s="40" t="s">
        <v>109</v>
      </c>
      <c r="F711" s="39" t="s">
        <v>41</v>
      </c>
      <c r="G711" s="39" t="s">
        <v>109</v>
      </c>
      <c r="H711" s="47">
        <v>0</v>
      </c>
      <c r="I711" s="36">
        <f t="shared" si="129"/>
        <v>0</v>
      </c>
      <c r="J711" s="37">
        <f t="shared" si="127"/>
        <v>0</v>
      </c>
      <c r="K711" s="37">
        <f t="shared" si="128"/>
        <v>0</v>
      </c>
      <c r="M711" s="37">
        <f t="shared" si="130"/>
        <v>0</v>
      </c>
      <c r="O711" s="4">
        <f t="shared" si="131"/>
        <v>0</v>
      </c>
      <c r="Q711" s="4">
        <f t="shared" si="132"/>
        <v>0</v>
      </c>
      <c r="S711" s="4">
        <f t="shared" si="133"/>
        <v>0</v>
      </c>
      <c r="U711" s="4">
        <f t="shared" si="136"/>
        <v>0</v>
      </c>
      <c r="W711" s="4">
        <f t="shared" si="134"/>
        <v>0</v>
      </c>
      <c r="Y711" s="4">
        <f t="shared" si="135"/>
        <v>0</v>
      </c>
    </row>
    <row r="712" spans="1:25" hidden="1" outlineLevel="1" x14ac:dyDescent="0.35">
      <c r="A712" s="39" t="s">
        <v>1786</v>
      </c>
      <c r="B712" s="39" t="s">
        <v>109</v>
      </c>
      <c r="C712" s="39" t="s">
        <v>109</v>
      </c>
      <c r="D712" s="39" t="s">
        <v>109</v>
      </c>
      <c r="E712" s="40" t="s">
        <v>109</v>
      </c>
      <c r="F712" s="39" t="s">
        <v>41</v>
      </c>
      <c r="G712" s="39" t="s">
        <v>109</v>
      </c>
      <c r="H712" s="47">
        <v>0</v>
      </c>
      <c r="I712" s="36">
        <f t="shared" si="129"/>
        <v>0</v>
      </c>
      <c r="J712" s="37">
        <f t="shared" si="127"/>
        <v>0</v>
      </c>
      <c r="K712" s="37">
        <f t="shared" si="128"/>
        <v>0</v>
      </c>
      <c r="M712" s="37">
        <f t="shared" si="130"/>
        <v>0</v>
      </c>
      <c r="O712" s="4">
        <f t="shared" si="131"/>
        <v>0</v>
      </c>
      <c r="Q712" s="4">
        <f t="shared" si="132"/>
        <v>0</v>
      </c>
      <c r="S712" s="4">
        <f t="shared" si="133"/>
        <v>0</v>
      </c>
      <c r="U712" s="4">
        <f t="shared" si="136"/>
        <v>0</v>
      </c>
      <c r="W712" s="4">
        <f t="shared" si="134"/>
        <v>0</v>
      </c>
      <c r="Y712" s="4">
        <f t="shared" si="135"/>
        <v>0</v>
      </c>
    </row>
    <row r="713" spans="1:25" hidden="1" outlineLevel="1" x14ac:dyDescent="0.35">
      <c r="A713" s="39" t="s">
        <v>1787</v>
      </c>
      <c r="B713" s="39" t="s">
        <v>109</v>
      </c>
      <c r="C713" s="39" t="s">
        <v>109</v>
      </c>
      <c r="D713" s="39" t="s">
        <v>109</v>
      </c>
      <c r="E713" s="40" t="s">
        <v>109</v>
      </c>
      <c r="F713" s="39" t="s">
        <v>41</v>
      </c>
      <c r="G713" s="39" t="s">
        <v>109</v>
      </c>
      <c r="H713" s="47">
        <v>0</v>
      </c>
      <c r="I713" s="36">
        <f t="shared" si="129"/>
        <v>0</v>
      </c>
      <c r="J713" s="37">
        <f t="shared" si="127"/>
        <v>0</v>
      </c>
      <c r="K713" s="37">
        <f t="shared" si="128"/>
        <v>0</v>
      </c>
      <c r="M713" s="37">
        <f t="shared" si="130"/>
        <v>0</v>
      </c>
      <c r="O713" s="4">
        <f t="shared" si="131"/>
        <v>0</v>
      </c>
      <c r="Q713" s="4">
        <f t="shared" si="132"/>
        <v>0</v>
      </c>
      <c r="S713" s="4">
        <f t="shared" si="133"/>
        <v>0</v>
      </c>
      <c r="U713" s="4">
        <f t="shared" si="136"/>
        <v>0</v>
      </c>
      <c r="W713" s="4">
        <f t="shared" si="134"/>
        <v>0</v>
      </c>
      <c r="Y713" s="4">
        <f t="shared" si="135"/>
        <v>0</v>
      </c>
    </row>
    <row r="714" spans="1:25" hidden="1" outlineLevel="1" x14ac:dyDescent="0.35">
      <c r="A714" s="39" t="s">
        <v>1788</v>
      </c>
      <c r="B714" s="39" t="s">
        <v>109</v>
      </c>
      <c r="C714" s="39" t="s">
        <v>109</v>
      </c>
      <c r="D714" s="39" t="s">
        <v>109</v>
      </c>
      <c r="E714" s="40" t="s">
        <v>109</v>
      </c>
      <c r="F714" s="39" t="s">
        <v>41</v>
      </c>
      <c r="G714" s="39" t="s">
        <v>109</v>
      </c>
      <c r="H714" s="47">
        <v>0</v>
      </c>
      <c r="I714" s="36">
        <f t="shared" si="129"/>
        <v>0</v>
      </c>
      <c r="J714" s="37">
        <f t="shared" si="127"/>
        <v>0</v>
      </c>
      <c r="K714" s="37">
        <f t="shared" si="128"/>
        <v>0</v>
      </c>
      <c r="M714" s="37">
        <f t="shared" si="130"/>
        <v>0</v>
      </c>
      <c r="O714" s="4">
        <f t="shared" si="131"/>
        <v>0</v>
      </c>
      <c r="Q714" s="4">
        <f t="shared" si="132"/>
        <v>0</v>
      </c>
      <c r="S714" s="4">
        <f t="shared" si="133"/>
        <v>0</v>
      </c>
      <c r="U714" s="4">
        <f t="shared" si="136"/>
        <v>0</v>
      </c>
      <c r="W714" s="4">
        <f t="shared" si="134"/>
        <v>0</v>
      </c>
      <c r="Y714" s="4">
        <f t="shared" si="135"/>
        <v>0</v>
      </c>
    </row>
    <row r="715" spans="1:25" hidden="1" outlineLevel="1" x14ac:dyDescent="0.35">
      <c r="A715" s="39" t="s">
        <v>1789</v>
      </c>
      <c r="B715" s="39" t="s">
        <v>109</v>
      </c>
      <c r="C715" s="39" t="s">
        <v>109</v>
      </c>
      <c r="D715" s="39" t="s">
        <v>109</v>
      </c>
      <c r="E715" s="40" t="s">
        <v>109</v>
      </c>
      <c r="F715" s="39" t="s">
        <v>41</v>
      </c>
      <c r="G715" s="39" t="s">
        <v>109</v>
      </c>
      <c r="H715" s="47">
        <v>0</v>
      </c>
      <c r="I715" s="36">
        <f t="shared" si="129"/>
        <v>0</v>
      </c>
      <c r="J715" s="37">
        <f t="shared" si="127"/>
        <v>0</v>
      </c>
      <c r="K715" s="37">
        <f t="shared" si="128"/>
        <v>0</v>
      </c>
      <c r="M715" s="37">
        <f t="shared" si="130"/>
        <v>0</v>
      </c>
      <c r="O715" s="4">
        <f t="shared" si="131"/>
        <v>0</v>
      </c>
      <c r="Q715" s="4">
        <f t="shared" si="132"/>
        <v>0</v>
      </c>
      <c r="S715" s="4">
        <f t="shared" si="133"/>
        <v>0</v>
      </c>
      <c r="U715" s="4">
        <f t="shared" si="136"/>
        <v>0</v>
      </c>
      <c r="W715" s="4">
        <f t="shared" si="134"/>
        <v>0</v>
      </c>
      <c r="Y715" s="4">
        <f t="shared" si="135"/>
        <v>0</v>
      </c>
    </row>
    <row r="716" spans="1:25" hidden="1" outlineLevel="1" x14ac:dyDescent="0.35">
      <c r="A716" s="39" t="s">
        <v>1790</v>
      </c>
      <c r="B716" s="39" t="s">
        <v>109</v>
      </c>
      <c r="C716" s="39" t="s">
        <v>109</v>
      </c>
      <c r="D716" s="39" t="s">
        <v>109</v>
      </c>
      <c r="E716" s="40" t="s">
        <v>109</v>
      </c>
      <c r="F716" s="39" t="s">
        <v>41</v>
      </c>
      <c r="G716" s="39" t="s">
        <v>109</v>
      </c>
      <c r="H716" s="47">
        <v>0</v>
      </c>
      <c r="I716" s="36">
        <f t="shared" si="129"/>
        <v>0</v>
      </c>
      <c r="J716" s="37">
        <f t="shared" si="127"/>
        <v>0</v>
      </c>
      <c r="K716" s="37">
        <f t="shared" si="128"/>
        <v>0</v>
      </c>
      <c r="M716" s="37">
        <f t="shared" si="130"/>
        <v>0</v>
      </c>
      <c r="O716" s="4">
        <f t="shared" si="131"/>
        <v>0</v>
      </c>
      <c r="Q716" s="4">
        <f t="shared" si="132"/>
        <v>0</v>
      </c>
      <c r="S716" s="4">
        <f t="shared" si="133"/>
        <v>0</v>
      </c>
      <c r="U716" s="4">
        <f t="shared" si="136"/>
        <v>0</v>
      </c>
      <c r="W716" s="4">
        <f t="shared" si="134"/>
        <v>0</v>
      </c>
      <c r="Y716" s="4">
        <f t="shared" si="135"/>
        <v>0</v>
      </c>
    </row>
    <row r="717" spans="1:25" hidden="1" outlineLevel="1" x14ac:dyDescent="0.35">
      <c r="A717" s="39" t="s">
        <v>1791</v>
      </c>
      <c r="B717" s="39" t="s">
        <v>109</v>
      </c>
      <c r="C717" s="39" t="s">
        <v>109</v>
      </c>
      <c r="D717" s="39" t="s">
        <v>109</v>
      </c>
      <c r="E717" s="40" t="s">
        <v>109</v>
      </c>
      <c r="F717" s="39" t="s">
        <v>41</v>
      </c>
      <c r="G717" s="39" t="s">
        <v>109</v>
      </c>
      <c r="H717" s="47">
        <v>0</v>
      </c>
      <c r="I717" s="36">
        <f t="shared" si="129"/>
        <v>0</v>
      </c>
      <c r="J717" s="37">
        <f t="shared" si="127"/>
        <v>0</v>
      </c>
      <c r="K717" s="37">
        <f t="shared" si="128"/>
        <v>0</v>
      </c>
      <c r="M717" s="37">
        <f t="shared" si="130"/>
        <v>0</v>
      </c>
      <c r="O717" s="4">
        <f t="shared" si="131"/>
        <v>0</v>
      </c>
      <c r="Q717" s="4">
        <f t="shared" si="132"/>
        <v>0</v>
      </c>
      <c r="S717" s="4">
        <f t="shared" si="133"/>
        <v>0</v>
      </c>
      <c r="U717" s="4">
        <f t="shared" si="136"/>
        <v>0</v>
      </c>
      <c r="W717" s="4">
        <f t="shared" si="134"/>
        <v>0</v>
      </c>
      <c r="Y717" s="4">
        <f t="shared" si="135"/>
        <v>0</v>
      </c>
    </row>
    <row r="718" spans="1:25" hidden="1" outlineLevel="1" x14ac:dyDescent="0.35">
      <c r="A718" s="39" t="s">
        <v>1792</v>
      </c>
      <c r="B718" s="39" t="s">
        <v>109</v>
      </c>
      <c r="C718" s="39" t="s">
        <v>109</v>
      </c>
      <c r="D718" s="39" t="s">
        <v>109</v>
      </c>
      <c r="E718" s="40" t="s">
        <v>109</v>
      </c>
      <c r="F718" s="39" t="s">
        <v>41</v>
      </c>
      <c r="G718" s="39" t="s">
        <v>109</v>
      </c>
      <c r="H718" s="47">
        <v>0</v>
      </c>
      <c r="I718" s="36">
        <f t="shared" si="129"/>
        <v>0</v>
      </c>
      <c r="J718" s="37">
        <f t="shared" si="127"/>
        <v>0</v>
      </c>
      <c r="K718" s="37">
        <f t="shared" si="128"/>
        <v>0</v>
      </c>
      <c r="M718" s="37">
        <f t="shared" si="130"/>
        <v>0</v>
      </c>
      <c r="O718" s="4">
        <f t="shared" si="131"/>
        <v>0</v>
      </c>
      <c r="Q718" s="4">
        <f t="shared" si="132"/>
        <v>0</v>
      </c>
      <c r="S718" s="4">
        <f t="shared" si="133"/>
        <v>0</v>
      </c>
      <c r="U718" s="4">
        <f t="shared" si="136"/>
        <v>0</v>
      </c>
      <c r="W718" s="4">
        <f t="shared" si="134"/>
        <v>0</v>
      </c>
      <c r="Y718" s="4">
        <f t="shared" si="135"/>
        <v>0</v>
      </c>
    </row>
    <row r="719" spans="1:25" hidden="1" outlineLevel="1" x14ac:dyDescent="0.35">
      <c r="A719" s="39" t="s">
        <v>1793</v>
      </c>
      <c r="B719" s="39" t="s">
        <v>109</v>
      </c>
      <c r="C719" s="39" t="s">
        <v>109</v>
      </c>
      <c r="D719" s="39" t="s">
        <v>109</v>
      </c>
      <c r="E719" s="40" t="s">
        <v>109</v>
      </c>
      <c r="F719" s="39" t="s">
        <v>41</v>
      </c>
      <c r="G719" s="39" t="s">
        <v>109</v>
      </c>
      <c r="H719" s="47">
        <v>0</v>
      </c>
      <c r="I719" s="36">
        <f t="shared" si="129"/>
        <v>0</v>
      </c>
      <c r="J719" s="37">
        <f t="shared" si="127"/>
        <v>0</v>
      </c>
      <c r="K719" s="37">
        <f t="shared" si="128"/>
        <v>0</v>
      </c>
      <c r="M719" s="37">
        <f t="shared" si="130"/>
        <v>0</v>
      </c>
      <c r="O719" s="4">
        <f t="shared" si="131"/>
        <v>0</v>
      </c>
      <c r="Q719" s="4">
        <f t="shared" si="132"/>
        <v>0</v>
      </c>
      <c r="S719" s="4">
        <f t="shared" si="133"/>
        <v>0</v>
      </c>
      <c r="U719" s="4">
        <f t="shared" si="136"/>
        <v>0</v>
      </c>
      <c r="W719" s="4">
        <f t="shared" si="134"/>
        <v>0</v>
      </c>
      <c r="Y719" s="4">
        <f t="shared" si="135"/>
        <v>0</v>
      </c>
    </row>
    <row r="720" spans="1:25" hidden="1" outlineLevel="1" x14ac:dyDescent="0.35">
      <c r="A720" s="39" t="s">
        <v>1794</v>
      </c>
      <c r="B720" s="39" t="s">
        <v>109</v>
      </c>
      <c r="C720" s="39" t="s">
        <v>109</v>
      </c>
      <c r="D720" s="39" t="s">
        <v>109</v>
      </c>
      <c r="E720" s="40" t="s">
        <v>109</v>
      </c>
      <c r="F720" s="39" t="s">
        <v>41</v>
      </c>
      <c r="G720" s="39" t="s">
        <v>109</v>
      </c>
      <c r="H720" s="47">
        <v>0</v>
      </c>
      <c r="I720" s="36">
        <f t="shared" si="129"/>
        <v>0</v>
      </c>
      <c r="J720" s="37">
        <f t="shared" si="127"/>
        <v>0</v>
      </c>
      <c r="K720" s="37">
        <f t="shared" si="128"/>
        <v>0</v>
      </c>
      <c r="M720" s="37">
        <f t="shared" si="130"/>
        <v>0</v>
      </c>
      <c r="O720" s="4">
        <f t="shared" si="131"/>
        <v>0</v>
      </c>
      <c r="Q720" s="4">
        <f t="shared" si="132"/>
        <v>0</v>
      </c>
      <c r="S720" s="4">
        <f t="shared" si="133"/>
        <v>0</v>
      </c>
      <c r="U720" s="4">
        <f t="shared" si="136"/>
        <v>0</v>
      </c>
      <c r="W720" s="4">
        <f t="shared" si="134"/>
        <v>0</v>
      </c>
      <c r="Y720" s="4">
        <f t="shared" si="135"/>
        <v>0</v>
      </c>
    </row>
    <row r="721" spans="1:25" hidden="1" outlineLevel="1" x14ac:dyDescent="0.35">
      <c r="A721" s="39" t="s">
        <v>1795</v>
      </c>
      <c r="B721" s="39" t="s">
        <v>109</v>
      </c>
      <c r="C721" s="39" t="s">
        <v>109</v>
      </c>
      <c r="D721" s="39" t="s">
        <v>109</v>
      </c>
      <c r="E721" s="40" t="s">
        <v>109</v>
      </c>
      <c r="F721" s="39" t="s">
        <v>41</v>
      </c>
      <c r="G721" s="39" t="s">
        <v>109</v>
      </c>
      <c r="H721" s="47">
        <v>0</v>
      </c>
      <c r="I721" s="36">
        <f t="shared" si="129"/>
        <v>0</v>
      </c>
      <c r="J721" s="37">
        <f t="shared" si="127"/>
        <v>0</v>
      </c>
      <c r="K721" s="37">
        <f t="shared" si="128"/>
        <v>0</v>
      </c>
      <c r="M721" s="37">
        <f t="shared" si="130"/>
        <v>0</v>
      </c>
      <c r="O721" s="4">
        <f t="shared" si="131"/>
        <v>0</v>
      </c>
      <c r="Q721" s="4">
        <f t="shared" si="132"/>
        <v>0</v>
      </c>
      <c r="S721" s="4">
        <f t="shared" si="133"/>
        <v>0</v>
      </c>
      <c r="U721" s="4">
        <f t="shared" si="136"/>
        <v>0</v>
      </c>
      <c r="W721" s="4">
        <f t="shared" si="134"/>
        <v>0</v>
      </c>
      <c r="Y721" s="4">
        <f t="shared" si="135"/>
        <v>0</v>
      </c>
    </row>
    <row r="722" spans="1:25" hidden="1" outlineLevel="1" x14ac:dyDescent="0.35">
      <c r="A722" s="39" t="s">
        <v>1796</v>
      </c>
      <c r="B722" s="39" t="s">
        <v>109</v>
      </c>
      <c r="C722" s="39" t="s">
        <v>109</v>
      </c>
      <c r="D722" s="39" t="s">
        <v>109</v>
      </c>
      <c r="E722" s="40" t="s">
        <v>109</v>
      </c>
      <c r="F722" s="39" t="s">
        <v>41</v>
      </c>
      <c r="G722" s="39" t="s">
        <v>109</v>
      </c>
      <c r="H722" s="47">
        <v>0</v>
      </c>
      <c r="I722" s="36">
        <f t="shared" si="129"/>
        <v>0</v>
      </c>
      <c r="J722" s="37">
        <f t="shared" si="127"/>
        <v>0</v>
      </c>
      <c r="K722" s="37">
        <f t="shared" si="128"/>
        <v>0</v>
      </c>
      <c r="M722" s="37">
        <f t="shared" si="130"/>
        <v>0</v>
      </c>
      <c r="O722" s="4">
        <f t="shared" si="131"/>
        <v>0</v>
      </c>
      <c r="Q722" s="4">
        <f t="shared" si="132"/>
        <v>0</v>
      </c>
      <c r="S722" s="4">
        <f t="shared" si="133"/>
        <v>0</v>
      </c>
      <c r="U722" s="4">
        <f t="shared" si="136"/>
        <v>0</v>
      </c>
      <c r="W722" s="4">
        <f t="shared" si="134"/>
        <v>0</v>
      </c>
      <c r="Y722" s="4">
        <f t="shared" si="135"/>
        <v>0</v>
      </c>
    </row>
    <row r="723" spans="1:25" hidden="1" outlineLevel="1" x14ac:dyDescent="0.35">
      <c r="A723" s="39" t="s">
        <v>1797</v>
      </c>
      <c r="B723" s="39" t="s">
        <v>109</v>
      </c>
      <c r="C723" s="39" t="s">
        <v>109</v>
      </c>
      <c r="D723" s="39" t="s">
        <v>109</v>
      </c>
      <c r="E723" s="40" t="s">
        <v>109</v>
      </c>
      <c r="F723" s="39" t="s">
        <v>41</v>
      </c>
      <c r="G723" s="39" t="s">
        <v>109</v>
      </c>
      <c r="H723" s="47">
        <v>0</v>
      </c>
      <c r="I723" s="36">
        <f t="shared" si="129"/>
        <v>0</v>
      </c>
      <c r="J723" s="37">
        <f t="shared" si="127"/>
        <v>0</v>
      </c>
      <c r="K723" s="37">
        <f t="shared" si="128"/>
        <v>0</v>
      </c>
      <c r="M723" s="37">
        <f t="shared" si="130"/>
        <v>0</v>
      </c>
      <c r="O723" s="4">
        <f t="shared" si="131"/>
        <v>0</v>
      </c>
      <c r="Q723" s="4">
        <f t="shared" si="132"/>
        <v>0</v>
      </c>
      <c r="S723" s="4">
        <f t="shared" si="133"/>
        <v>0</v>
      </c>
      <c r="U723" s="4">
        <f t="shared" si="136"/>
        <v>0</v>
      </c>
      <c r="W723" s="4">
        <f t="shared" si="134"/>
        <v>0</v>
      </c>
      <c r="Y723" s="4">
        <f t="shared" si="135"/>
        <v>0</v>
      </c>
    </row>
    <row r="724" spans="1:25" hidden="1" outlineLevel="1" x14ac:dyDescent="0.35">
      <c r="A724" s="39" t="s">
        <v>1798</v>
      </c>
      <c r="B724" s="39" t="s">
        <v>109</v>
      </c>
      <c r="C724" s="39" t="s">
        <v>109</v>
      </c>
      <c r="D724" s="39" t="s">
        <v>109</v>
      </c>
      <c r="E724" s="40" t="s">
        <v>109</v>
      </c>
      <c r="F724" s="39" t="s">
        <v>41</v>
      </c>
      <c r="G724" s="39" t="s">
        <v>109</v>
      </c>
      <c r="H724" s="47">
        <v>0</v>
      </c>
      <c r="I724" s="36">
        <f t="shared" si="129"/>
        <v>0</v>
      </c>
      <c r="J724" s="37">
        <f t="shared" si="127"/>
        <v>0</v>
      </c>
      <c r="K724" s="37">
        <f t="shared" si="128"/>
        <v>0</v>
      </c>
      <c r="M724" s="37">
        <f t="shared" si="130"/>
        <v>0</v>
      </c>
      <c r="O724" s="4">
        <f t="shared" si="131"/>
        <v>0</v>
      </c>
      <c r="Q724" s="4">
        <f t="shared" si="132"/>
        <v>0</v>
      </c>
      <c r="S724" s="4">
        <f t="shared" si="133"/>
        <v>0</v>
      </c>
      <c r="U724" s="4">
        <f t="shared" si="136"/>
        <v>0</v>
      </c>
      <c r="W724" s="4">
        <f t="shared" si="134"/>
        <v>0</v>
      </c>
      <c r="Y724" s="4">
        <f t="shared" si="135"/>
        <v>0</v>
      </c>
    </row>
    <row r="725" spans="1:25" hidden="1" outlineLevel="1" x14ac:dyDescent="0.35">
      <c r="A725" s="39" t="s">
        <v>1799</v>
      </c>
      <c r="B725" s="39" t="s">
        <v>109</v>
      </c>
      <c r="C725" s="39" t="s">
        <v>109</v>
      </c>
      <c r="D725" s="39" t="s">
        <v>109</v>
      </c>
      <c r="E725" s="40" t="s">
        <v>109</v>
      </c>
      <c r="F725" s="39" t="s">
        <v>41</v>
      </c>
      <c r="G725" s="39" t="s">
        <v>109</v>
      </c>
      <c r="H725" s="47">
        <v>0</v>
      </c>
      <c r="I725" s="36">
        <f t="shared" si="129"/>
        <v>0</v>
      </c>
      <c r="J725" s="37">
        <f t="shared" si="127"/>
        <v>0</v>
      </c>
      <c r="K725" s="37">
        <f t="shared" si="128"/>
        <v>0</v>
      </c>
      <c r="M725" s="37">
        <f t="shared" si="130"/>
        <v>0</v>
      </c>
      <c r="O725" s="4">
        <f t="shared" si="131"/>
        <v>0</v>
      </c>
      <c r="Q725" s="4">
        <f t="shared" si="132"/>
        <v>0</v>
      </c>
      <c r="S725" s="4">
        <f t="shared" si="133"/>
        <v>0</v>
      </c>
      <c r="U725" s="4">
        <f t="shared" si="136"/>
        <v>0</v>
      </c>
      <c r="W725" s="4">
        <f t="shared" si="134"/>
        <v>0</v>
      </c>
      <c r="Y725" s="4">
        <f t="shared" si="135"/>
        <v>0</v>
      </c>
    </row>
    <row r="726" spans="1:25" hidden="1" outlineLevel="1" x14ac:dyDescent="0.35">
      <c r="A726" s="39" t="s">
        <v>1800</v>
      </c>
      <c r="B726" s="39" t="s">
        <v>109</v>
      </c>
      <c r="C726" s="39" t="s">
        <v>109</v>
      </c>
      <c r="D726" s="39" t="s">
        <v>109</v>
      </c>
      <c r="E726" s="40" t="s">
        <v>109</v>
      </c>
      <c r="F726" s="39" t="s">
        <v>41</v>
      </c>
      <c r="G726" s="39" t="s">
        <v>109</v>
      </c>
      <c r="H726" s="47">
        <v>0</v>
      </c>
      <c r="I726" s="36">
        <f t="shared" si="129"/>
        <v>0</v>
      </c>
      <c r="J726" s="37">
        <f t="shared" si="127"/>
        <v>0</v>
      </c>
      <c r="K726" s="37">
        <f t="shared" si="128"/>
        <v>0</v>
      </c>
      <c r="M726" s="37">
        <f t="shared" si="130"/>
        <v>0</v>
      </c>
      <c r="O726" s="4">
        <f t="shared" si="131"/>
        <v>0</v>
      </c>
      <c r="Q726" s="4">
        <f t="shared" si="132"/>
        <v>0</v>
      </c>
      <c r="S726" s="4">
        <f t="shared" si="133"/>
        <v>0</v>
      </c>
      <c r="U726" s="4">
        <f t="shared" si="136"/>
        <v>0</v>
      </c>
      <c r="W726" s="4">
        <f t="shared" si="134"/>
        <v>0</v>
      </c>
      <c r="Y726" s="4">
        <f t="shared" si="135"/>
        <v>0</v>
      </c>
    </row>
    <row r="727" spans="1:25" hidden="1" outlineLevel="1" x14ac:dyDescent="0.35">
      <c r="A727" s="39" t="s">
        <v>1801</v>
      </c>
      <c r="B727" s="39" t="s">
        <v>109</v>
      </c>
      <c r="C727" s="39" t="s">
        <v>109</v>
      </c>
      <c r="D727" s="39" t="s">
        <v>109</v>
      </c>
      <c r="E727" s="40" t="s">
        <v>109</v>
      </c>
      <c r="F727" s="39" t="s">
        <v>41</v>
      </c>
      <c r="G727" s="39" t="s">
        <v>109</v>
      </c>
      <c r="H727" s="47">
        <v>0</v>
      </c>
      <c r="I727" s="36">
        <f t="shared" si="129"/>
        <v>0</v>
      </c>
      <c r="J727" s="37">
        <f t="shared" si="127"/>
        <v>0</v>
      </c>
      <c r="K727" s="37">
        <f t="shared" si="128"/>
        <v>0</v>
      </c>
      <c r="M727" s="37">
        <f t="shared" si="130"/>
        <v>0</v>
      </c>
      <c r="O727" s="4">
        <f t="shared" si="131"/>
        <v>0</v>
      </c>
      <c r="Q727" s="4">
        <f t="shared" si="132"/>
        <v>0</v>
      </c>
      <c r="S727" s="4">
        <f t="shared" si="133"/>
        <v>0</v>
      </c>
      <c r="U727" s="4">
        <f t="shared" si="136"/>
        <v>0</v>
      </c>
      <c r="W727" s="4">
        <f t="shared" si="134"/>
        <v>0</v>
      </c>
      <c r="Y727" s="4">
        <f t="shared" si="135"/>
        <v>0</v>
      </c>
    </row>
    <row r="728" spans="1:25" hidden="1" outlineLevel="1" x14ac:dyDescent="0.35">
      <c r="A728" s="39" t="s">
        <v>1802</v>
      </c>
      <c r="B728" s="39" t="s">
        <v>109</v>
      </c>
      <c r="C728" s="39" t="s">
        <v>109</v>
      </c>
      <c r="D728" s="39" t="s">
        <v>109</v>
      </c>
      <c r="E728" s="40" t="s">
        <v>109</v>
      </c>
      <c r="F728" s="39" t="s">
        <v>41</v>
      </c>
      <c r="G728" s="39" t="s">
        <v>109</v>
      </c>
      <c r="H728" s="47">
        <v>0</v>
      </c>
      <c r="I728" s="36">
        <f t="shared" si="129"/>
        <v>0</v>
      </c>
      <c r="J728" s="37">
        <f t="shared" si="127"/>
        <v>0</v>
      </c>
      <c r="K728" s="37">
        <f t="shared" si="128"/>
        <v>0</v>
      </c>
      <c r="M728" s="37">
        <f t="shared" si="130"/>
        <v>0</v>
      </c>
      <c r="O728" s="4">
        <f t="shared" si="131"/>
        <v>0</v>
      </c>
      <c r="Q728" s="4">
        <f t="shared" si="132"/>
        <v>0</v>
      </c>
      <c r="S728" s="4">
        <f t="shared" si="133"/>
        <v>0</v>
      </c>
      <c r="U728" s="4">
        <f t="shared" si="136"/>
        <v>0</v>
      </c>
      <c r="W728" s="4">
        <f t="shared" si="134"/>
        <v>0</v>
      </c>
      <c r="Y728" s="4">
        <f t="shared" si="135"/>
        <v>0</v>
      </c>
    </row>
    <row r="729" spans="1:25" hidden="1" outlineLevel="1" x14ac:dyDescent="0.35">
      <c r="A729" s="39" t="s">
        <v>1803</v>
      </c>
      <c r="B729" s="39" t="s">
        <v>109</v>
      </c>
      <c r="C729" s="39" t="s">
        <v>109</v>
      </c>
      <c r="D729" s="39" t="s">
        <v>109</v>
      </c>
      <c r="E729" s="40" t="s">
        <v>109</v>
      </c>
      <c r="F729" s="39" t="s">
        <v>41</v>
      </c>
      <c r="G729" s="39" t="s">
        <v>109</v>
      </c>
      <c r="H729" s="47">
        <v>0</v>
      </c>
      <c r="I729" s="36">
        <f t="shared" si="129"/>
        <v>0</v>
      </c>
      <c r="J729" s="37">
        <f t="shared" si="127"/>
        <v>0</v>
      </c>
      <c r="K729" s="37">
        <f t="shared" si="128"/>
        <v>0</v>
      </c>
      <c r="M729" s="37">
        <f t="shared" si="130"/>
        <v>0</v>
      </c>
      <c r="O729" s="4">
        <f t="shared" si="131"/>
        <v>0</v>
      </c>
      <c r="Q729" s="4">
        <f t="shared" si="132"/>
        <v>0</v>
      </c>
      <c r="S729" s="4">
        <f t="shared" si="133"/>
        <v>0</v>
      </c>
      <c r="U729" s="4">
        <f t="shared" si="136"/>
        <v>0</v>
      </c>
      <c r="W729" s="4">
        <f t="shared" si="134"/>
        <v>0</v>
      </c>
      <c r="Y729" s="4">
        <f t="shared" si="135"/>
        <v>0</v>
      </c>
    </row>
    <row r="730" spans="1:25" hidden="1" outlineLevel="1" x14ac:dyDescent="0.35">
      <c r="A730" s="39" t="s">
        <v>1804</v>
      </c>
      <c r="B730" s="39" t="s">
        <v>109</v>
      </c>
      <c r="C730" s="39" t="s">
        <v>109</v>
      </c>
      <c r="D730" s="39" t="s">
        <v>109</v>
      </c>
      <c r="E730" s="40" t="s">
        <v>109</v>
      </c>
      <c r="F730" s="39" t="s">
        <v>41</v>
      </c>
      <c r="G730" s="39" t="s">
        <v>109</v>
      </c>
      <c r="H730" s="47">
        <v>0</v>
      </c>
      <c r="I730" s="36">
        <f t="shared" si="129"/>
        <v>0</v>
      </c>
      <c r="J730" s="37">
        <f t="shared" si="127"/>
        <v>0</v>
      </c>
      <c r="K730" s="37">
        <f t="shared" si="128"/>
        <v>0</v>
      </c>
      <c r="M730" s="37">
        <f t="shared" si="130"/>
        <v>0</v>
      </c>
      <c r="O730" s="4">
        <f t="shared" si="131"/>
        <v>0</v>
      </c>
      <c r="Q730" s="4">
        <f t="shared" si="132"/>
        <v>0</v>
      </c>
      <c r="S730" s="4">
        <f t="shared" si="133"/>
        <v>0</v>
      </c>
      <c r="U730" s="4">
        <f t="shared" si="136"/>
        <v>0</v>
      </c>
      <c r="W730" s="4">
        <f t="shared" si="134"/>
        <v>0</v>
      </c>
      <c r="Y730" s="4">
        <f t="shared" si="135"/>
        <v>0</v>
      </c>
    </row>
    <row r="731" spans="1:25" hidden="1" outlineLevel="1" x14ac:dyDescent="0.35">
      <c r="A731" s="39" t="s">
        <v>1805</v>
      </c>
      <c r="B731" s="39" t="s">
        <v>109</v>
      </c>
      <c r="C731" s="39" t="s">
        <v>109</v>
      </c>
      <c r="D731" s="39" t="s">
        <v>109</v>
      </c>
      <c r="E731" s="40" t="s">
        <v>109</v>
      </c>
      <c r="F731" s="39" t="s">
        <v>41</v>
      </c>
      <c r="G731" s="39" t="s">
        <v>109</v>
      </c>
      <c r="H731" s="47">
        <v>0</v>
      </c>
      <c r="I731" s="36">
        <f t="shared" si="129"/>
        <v>0</v>
      </c>
      <c r="J731" s="37">
        <f t="shared" si="127"/>
        <v>0</v>
      </c>
      <c r="K731" s="37">
        <f t="shared" si="128"/>
        <v>0</v>
      </c>
      <c r="M731" s="37">
        <f t="shared" si="130"/>
        <v>0</v>
      </c>
      <c r="O731" s="4">
        <f t="shared" si="131"/>
        <v>0</v>
      </c>
      <c r="Q731" s="4">
        <f t="shared" si="132"/>
        <v>0</v>
      </c>
      <c r="S731" s="4">
        <f t="shared" si="133"/>
        <v>0</v>
      </c>
      <c r="U731" s="4">
        <f t="shared" si="136"/>
        <v>0</v>
      </c>
      <c r="W731" s="4">
        <f t="shared" si="134"/>
        <v>0</v>
      </c>
      <c r="Y731" s="4">
        <f t="shared" si="135"/>
        <v>0</v>
      </c>
    </row>
    <row r="732" spans="1:25" hidden="1" outlineLevel="1" x14ac:dyDescent="0.35">
      <c r="A732" s="39" t="s">
        <v>1806</v>
      </c>
      <c r="B732" s="39" t="s">
        <v>109</v>
      </c>
      <c r="C732" s="39" t="s">
        <v>109</v>
      </c>
      <c r="D732" s="39" t="s">
        <v>109</v>
      </c>
      <c r="E732" s="40" t="s">
        <v>109</v>
      </c>
      <c r="F732" s="39" t="s">
        <v>41</v>
      </c>
      <c r="G732" s="39" t="s">
        <v>109</v>
      </c>
      <c r="H732" s="47">
        <v>0</v>
      </c>
      <c r="I732" s="36">
        <f t="shared" si="129"/>
        <v>0</v>
      </c>
      <c r="J732" s="37">
        <f t="shared" si="127"/>
        <v>0</v>
      </c>
      <c r="K732" s="37">
        <f t="shared" si="128"/>
        <v>0</v>
      </c>
      <c r="M732" s="37">
        <f t="shared" si="130"/>
        <v>0</v>
      </c>
      <c r="O732" s="4">
        <f t="shared" si="131"/>
        <v>0</v>
      </c>
      <c r="Q732" s="4">
        <f t="shared" si="132"/>
        <v>0</v>
      </c>
      <c r="S732" s="4">
        <f t="shared" si="133"/>
        <v>0</v>
      </c>
      <c r="U732" s="4">
        <f t="shared" si="136"/>
        <v>0</v>
      </c>
      <c r="W732" s="4">
        <f t="shared" si="134"/>
        <v>0</v>
      </c>
      <c r="Y732" s="4">
        <f t="shared" si="135"/>
        <v>0</v>
      </c>
    </row>
    <row r="733" spans="1:25" hidden="1" outlineLevel="1" x14ac:dyDescent="0.35">
      <c r="A733" s="39" t="s">
        <v>1807</v>
      </c>
      <c r="B733" s="39" t="s">
        <v>109</v>
      </c>
      <c r="C733" s="39" t="s">
        <v>109</v>
      </c>
      <c r="D733" s="39" t="s">
        <v>109</v>
      </c>
      <c r="E733" s="40" t="s">
        <v>109</v>
      </c>
      <c r="F733" s="39" t="s">
        <v>41</v>
      </c>
      <c r="G733" s="39" t="s">
        <v>109</v>
      </c>
      <c r="H733" s="47">
        <v>0</v>
      </c>
      <c r="I733" s="36">
        <f t="shared" si="129"/>
        <v>0</v>
      </c>
      <c r="J733" s="37">
        <f t="shared" si="127"/>
        <v>0</v>
      </c>
      <c r="K733" s="37">
        <f t="shared" si="128"/>
        <v>0</v>
      </c>
      <c r="M733" s="37">
        <f t="shared" si="130"/>
        <v>0</v>
      </c>
      <c r="O733" s="4">
        <f t="shared" si="131"/>
        <v>0</v>
      </c>
      <c r="Q733" s="4">
        <f t="shared" si="132"/>
        <v>0</v>
      </c>
      <c r="S733" s="4">
        <f t="shared" si="133"/>
        <v>0</v>
      </c>
      <c r="U733" s="4">
        <f t="shared" si="136"/>
        <v>0</v>
      </c>
      <c r="W733" s="4">
        <f t="shared" si="134"/>
        <v>0</v>
      </c>
      <c r="Y733" s="4">
        <f t="shared" si="135"/>
        <v>0</v>
      </c>
    </row>
    <row r="734" spans="1:25" hidden="1" outlineLevel="1" x14ac:dyDescent="0.35">
      <c r="A734" s="39" t="s">
        <v>1808</v>
      </c>
      <c r="B734" s="39" t="s">
        <v>109</v>
      </c>
      <c r="C734" s="39" t="s">
        <v>109</v>
      </c>
      <c r="D734" s="39" t="s">
        <v>109</v>
      </c>
      <c r="E734" s="40" t="s">
        <v>109</v>
      </c>
      <c r="F734" s="39" t="s">
        <v>41</v>
      </c>
      <c r="G734" s="39" t="s">
        <v>109</v>
      </c>
      <c r="H734" s="47">
        <v>0</v>
      </c>
      <c r="I734" s="36">
        <f t="shared" si="129"/>
        <v>0</v>
      </c>
      <c r="J734" s="37">
        <f t="shared" si="127"/>
        <v>0</v>
      </c>
      <c r="K734" s="37">
        <f t="shared" si="128"/>
        <v>0</v>
      </c>
      <c r="M734" s="37">
        <f t="shared" si="130"/>
        <v>0</v>
      </c>
      <c r="O734" s="4">
        <f t="shared" si="131"/>
        <v>0</v>
      </c>
      <c r="Q734" s="4">
        <f t="shared" si="132"/>
        <v>0</v>
      </c>
      <c r="S734" s="4">
        <f t="shared" si="133"/>
        <v>0</v>
      </c>
      <c r="U734" s="4">
        <f t="shared" si="136"/>
        <v>0</v>
      </c>
      <c r="W734" s="4">
        <f t="shared" si="134"/>
        <v>0</v>
      </c>
      <c r="Y734" s="4">
        <f t="shared" si="135"/>
        <v>0</v>
      </c>
    </row>
    <row r="735" spans="1:25" hidden="1" outlineLevel="1" x14ac:dyDescent="0.35">
      <c r="A735" s="39" t="s">
        <v>1809</v>
      </c>
      <c r="B735" s="39" t="s">
        <v>109</v>
      </c>
      <c r="C735" s="39" t="s">
        <v>109</v>
      </c>
      <c r="D735" s="39" t="s">
        <v>109</v>
      </c>
      <c r="E735" s="40" t="s">
        <v>109</v>
      </c>
      <c r="F735" s="39" t="s">
        <v>41</v>
      </c>
      <c r="G735" s="39" t="s">
        <v>109</v>
      </c>
      <c r="H735" s="47">
        <v>0</v>
      </c>
      <c r="I735" s="36">
        <f t="shared" si="129"/>
        <v>0</v>
      </c>
      <c r="J735" s="37">
        <f t="shared" si="127"/>
        <v>0</v>
      </c>
      <c r="K735" s="37">
        <f t="shared" si="128"/>
        <v>0</v>
      </c>
      <c r="M735" s="37">
        <f t="shared" si="130"/>
        <v>0</v>
      </c>
      <c r="O735" s="4">
        <f t="shared" si="131"/>
        <v>0</v>
      </c>
      <c r="Q735" s="4">
        <f t="shared" si="132"/>
        <v>0</v>
      </c>
      <c r="S735" s="4">
        <f t="shared" si="133"/>
        <v>0</v>
      </c>
      <c r="U735" s="4">
        <f t="shared" si="136"/>
        <v>0</v>
      </c>
      <c r="W735" s="4">
        <f t="shared" si="134"/>
        <v>0</v>
      </c>
      <c r="Y735" s="4">
        <f t="shared" si="135"/>
        <v>0</v>
      </c>
    </row>
    <row r="736" spans="1:25" hidden="1" outlineLevel="1" x14ac:dyDescent="0.35">
      <c r="A736" s="39" t="s">
        <v>1810</v>
      </c>
      <c r="B736" s="39" t="s">
        <v>109</v>
      </c>
      <c r="C736" s="39" t="s">
        <v>109</v>
      </c>
      <c r="D736" s="39" t="s">
        <v>109</v>
      </c>
      <c r="E736" s="40" t="s">
        <v>109</v>
      </c>
      <c r="F736" s="39" t="s">
        <v>41</v>
      </c>
      <c r="G736" s="39" t="s">
        <v>109</v>
      </c>
      <c r="H736" s="47">
        <v>0</v>
      </c>
      <c r="I736" s="36">
        <f t="shared" si="129"/>
        <v>0</v>
      </c>
      <c r="J736" s="37">
        <f t="shared" si="127"/>
        <v>0</v>
      </c>
      <c r="K736" s="37">
        <f t="shared" si="128"/>
        <v>0</v>
      </c>
      <c r="M736" s="37">
        <f t="shared" si="130"/>
        <v>0</v>
      </c>
      <c r="O736" s="4">
        <f t="shared" si="131"/>
        <v>0</v>
      </c>
      <c r="Q736" s="4">
        <f t="shared" si="132"/>
        <v>0</v>
      </c>
      <c r="S736" s="4">
        <f t="shared" si="133"/>
        <v>0</v>
      </c>
      <c r="U736" s="4">
        <f t="shared" si="136"/>
        <v>0</v>
      </c>
      <c r="W736" s="4">
        <f t="shared" si="134"/>
        <v>0</v>
      </c>
      <c r="Y736" s="4">
        <f t="shared" si="135"/>
        <v>0</v>
      </c>
    </row>
    <row r="737" spans="1:25" hidden="1" outlineLevel="1" x14ac:dyDescent="0.35">
      <c r="A737" s="39" t="s">
        <v>1811</v>
      </c>
      <c r="B737" s="39" t="s">
        <v>109</v>
      </c>
      <c r="C737" s="39" t="s">
        <v>109</v>
      </c>
      <c r="D737" s="39" t="s">
        <v>109</v>
      </c>
      <c r="E737" s="40" t="s">
        <v>109</v>
      </c>
      <c r="F737" s="39" t="s">
        <v>41</v>
      </c>
      <c r="G737" s="39" t="s">
        <v>109</v>
      </c>
      <c r="H737" s="47">
        <v>0</v>
      </c>
      <c r="I737" s="36">
        <f t="shared" si="129"/>
        <v>0</v>
      </c>
      <c r="J737" s="37">
        <f t="shared" si="127"/>
        <v>0</v>
      </c>
      <c r="K737" s="37">
        <f t="shared" si="128"/>
        <v>0</v>
      </c>
      <c r="M737" s="37">
        <f t="shared" si="130"/>
        <v>0</v>
      </c>
      <c r="O737" s="4">
        <f t="shared" si="131"/>
        <v>0</v>
      </c>
      <c r="Q737" s="4">
        <f t="shared" si="132"/>
        <v>0</v>
      </c>
      <c r="S737" s="4">
        <f t="shared" si="133"/>
        <v>0</v>
      </c>
      <c r="U737" s="4">
        <f t="shared" si="136"/>
        <v>0</v>
      </c>
      <c r="W737" s="4">
        <f t="shared" si="134"/>
        <v>0</v>
      </c>
      <c r="Y737" s="4">
        <f t="shared" si="135"/>
        <v>0</v>
      </c>
    </row>
    <row r="738" spans="1:25" hidden="1" outlineLevel="1" x14ac:dyDescent="0.35">
      <c r="A738" s="39" t="s">
        <v>1812</v>
      </c>
      <c r="B738" s="39" t="s">
        <v>109</v>
      </c>
      <c r="C738" s="39" t="s">
        <v>109</v>
      </c>
      <c r="D738" s="39" t="s">
        <v>109</v>
      </c>
      <c r="E738" s="40" t="s">
        <v>109</v>
      </c>
      <c r="F738" s="39" t="s">
        <v>41</v>
      </c>
      <c r="G738" s="39" t="s">
        <v>109</v>
      </c>
      <c r="H738" s="47">
        <v>0</v>
      </c>
      <c r="I738" s="36">
        <f t="shared" si="129"/>
        <v>0</v>
      </c>
      <c r="J738" s="37">
        <f t="shared" si="127"/>
        <v>0</v>
      </c>
      <c r="K738" s="37">
        <f t="shared" si="128"/>
        <v>0</v>
      </c>
      <c r="M738" s="37">
        <f t="shared" si="130"/>
        <v>0</v>
      </c>
      <c r="O738" s="4">
        <f t="shared" si="131"/>
        <v>0</v>
      </c>
      <c r="Q738" s="4">
        <f t="shared" si="132"/>
        <v>0</v>
      </c>
      <c r="S738" s="4">
        <f t="shared" si="133"/>
        <v>0</v>
      </c>
      <c r="U738" s="4">
        <f t="shared" si="136"/>
        <v>0</v>
      </c>
      <c r="W738" s="4">
        <f t="shared" si="134"/>
        <v>0</v>
      </c>
      <c r="Y738" s="4">
        <f t="shared" si="135"/>
        <v>0</v>
      </c>
    </row>
    <row r="739" spans="1:25" hidden="1" outlineLevel="1" x14ac:dyDescent="0.35">
      <c r="A739" s="39" t="s">
        <v>1813</v>
      </c>
      <c r="B739" s="39" t="s">
        <v>109</v>
      </c>
      <c r="C739" s="39" t="s">
        <v>109</v>
      </c>
      <c r="D739" s="39" t="s">
        <v>109</v>
      </c>
      <c r="E739" s="40" t="s">
        <v>109</v>
      </c>
      <c r="F739" s="39" t="s">
        <v>41</v>
      </c>
      <c r="G739" s="39" t="s">
        <v>109</v>
      </c>
      <c r="H739" s="47">
        <v>0</v>
      </c>
      <c r="I739" s="36">
        <f t="shared" si="129"/>
        <v>0</v>
      </c>
      <c r="J739" s="37">
        <f t="shared" si="127"/>
        <v>0</v>
      </c>
      <c r="K739" s="37">
        <f t="shared" si="128"/>
        <v>0</v>
      </c>
      <c r="M739" s="37">
        <f t="shared" si="130"/>
        <v>0</v>
      </c>
      <c r="O739" s="4">
        <f t="shared" si="131"/>
        <v>0</v>
      </c>
      <c r="Q739" s="4">
        <f t="shared" si="132"/>
        <v>0</v>
      </c>
      <c r="S739" s="4">
        <f t="shared" si="133"/>
        <v>0</v>
      </c>
      <c r="U739" s="4">
        <f t="shared" si="136"/>
        <v>0</v>
      </c>
      <c r="W739" s="4">
        <f t="shared" si="134"/>
        <v>0</v>
      </c>
      <c r="Y739" s="4">
        <f t="shared" si="135"/>
        <v>0</v>
      </c>
    </row>
    <row r="740" spans="1:25" hidden="1" outlineLevel="1" x14ac:dyDescent="0.35">
      <c r="A740" s="39" t="s">
        <v>1814</v>
      </c>
      <c r="B740" s="39" t="s">
        <v>109</v>
      </c>
      <c r="C740" s="39" t="s">
        <v>109</v>
      </c>
      <c r="D740" s="39" t="s">
        <v>1367</v>
      </c>
      <c r="E740" s="40" t="s">
        <v>126</v>
      </c>
      <c r="F740" s="39" t="s">
        <v>41</v>
      </c>
      <c r="G740" s="39" t="s">
        <v>1815</v>
      </c>
      <c r="H740" s="47">
        <v>0</v>
      </c>
      <c r="I740" s="36">
        <f t="shared" si="129"/>
        <v>0</v>
      </c>
      <c r="J740" s="37">
        <f t="shared" si="127"/>
        <v>0</v>
      </c>
      <c r="K740" s="37">
        <f t="shared" si="128"/>
        <v>0</v>
      </c>
      <c r="M740" s="37">
        <f t="shared" si="130"/>
        <v>0</v>
      </c>
      <c r="O740" s="4">
        <f t="shared" si="131"/>
        <v>0</v>
      </c>
      <c r="Q740" s="4">
        <f t="shared" si="132"/>
        <v>0</v>
      </c>
      <c r="S740" s="4">
        <f t="shared" si="133"/>
        <v>0</v>
      </c>
      <c r="U740" s="4">
        <f t="shared" si="136"/>
        <v>0</v>
      </c>
      <c r="W740" s="4">
        <f t="shared" si="134"/>
        <v>0</v>
      </c>
      <c r="Y740" s="4">
        <f t="shared" si="135"/>
        <v>0</v>
      </c>
    </row>
    <row r="741" spans="1:25" hidden="1" outlineLevel="1" x14ac:dyDescent="0.35">
      <c r="A741" s="39" t="s">
        <v>1816</v>
      </c>
      <c r="B741" s="39" t="s">
        <v>109</v>
      </c>
      <c r="C741" s="39" t="s">
        <v>109</v>
      </c>
      <c r="D741" s="39" t="s">
        <v>109</v>
      </c>
      <c r="E741" s="40" t="s">
        <v>109</v>
      </c>
      <c r="F741" s="39" t="s">
        <v>41</v>
      </c>
      <c r="G741" s="39" t="s">
        <v>110</v>
      </c>
      <c r="H741" s="47">
        <v>0</v>
      </c>
      <c r="I741" s="36">
        <f t="shared" si="129"/>
        <v>0</v>
      </c>
      <c r="J741" s="37">
        <f t="shared" si="127"/>
        <v>0</v>
      </c>
      <c r="K741" s="37">
        <f t="shared" si="128"/>
        <v>0</v>
      </c>
      <c r="M741" s="37">
        <f t="shared" si="130"/>
        <v>0</v>
      </c>
      <c r="O741" s="4">
        <f t="shared" si="131"/>
        <v>0</v>
      </c>
      <c r="Q741" s="4">
        <f t="shared" si="132"/>
        <v>0</v>
      </c>
      <c r="S741" s="4">
        <f t="shared" si="133"/>
        <v>0</v>
      </c>
      <c r="U741" s="4">
        <f t="shared" si="136"/>
        <v>0</v>
      </c>
      <c r="W741" s="4">
        <f t="shared" si="134"/>
        <v>0</v>
      </c>
      <c r="Y741" s="4">
        <f t="shared" si="135"/>
        <v>0</v>
      </c>
    </row>
    <row r="742" spans="1:25" hidden="1" outlineLevel="1" x14ac:dyDescent="0.35">
      <c r="A742" s="39" t="s">
        <v>1817</v>
      </c>
      <c r="B742" s="39" t="s">
        <v>109</v>
      </c>
      <c r="C742" s="39" t="s">
        <v>109</v>
      </c>
      <c r="D742" s="39" t="s">
        <v>1818</v>
      </c>
      <c r="E742" s="40" t="s">
        <v>91</v>
      </c>
      <c r="F742" s="39" t="s">
        <v>41</v>
      </c>
      <c r="G742" s="39" t="s">
        <v>1819</v>
      </c>
      <c r="H742" s="47">
        <v>0</v>
      </c>
      <c r="I742" s="36">
        <f t="shared" si="129"/>
        <v>0</v>
      </c>
      <c r="J742" s="37">
        <f t="shared" si="127"/>
        <v>0</v>
      </c>
      <c r="K742" s="37">
        <f t="shared" si="128"/>
        <v>0</v>
      </c>
      <c r="M742" s="37">
        <f t="shared" si="130"/>
        <v>0</v>
      </c>
      <c r="O742" s="4">
        <f t="shared" si="131"/>
        <v>0</v>
      </c>
      <c r="Q742" s="4">
        <f t="shared" si="132"/>
        <v>0</v>
      </c>
      <c r="S742" s="4">
        <f t="shared" si="133"/>
        <v>0</v>
      </c>
      <c r="U742" s="4">
        <f t="shared" si="136"/>
        <v>0</v>
      </c>
      <c r="W742" s="4">
        <f t="shared" si="134"/>
        <v>0</v>
      </c>
      <c r="Y742" s="4">
        <f t="shared" si="135"/>
        <v>0</v>
      </c>
    </row>
    <row r="743" spans="1:25" hidden="1" outlineLevel="1" x14ac:dyDescent="0.35">
      <c r="A743" s="39" t="s">
        <v>1820</v>
      </c>
      <c r="B743" s="39" t="s">
        <v>109</v>
      </c>
      <c r="C743" s="39" t="s">
        <v>109</v>
      </c>
      <c r="D743" s="39" t="s">
        <v>109</v>
      </c>
      <c r="E743" s="40" t="s">
        <v>238</v>
      </c>
      <c r="F743" s="39" t="s">
        <v>41</v>
      </c>
      <c r="G743" s="39" t="s">
        <v>1821</v>
      </c>
      <c r="H743" s="47">
        <v>0</v>
      </c>
      <c r="I743" s="36">
        <f t="shared" si="129"/>
        <v>0</v>
      </c>
      <c r="J743" s="37">
        <f t="shared" si="127"/>
        <v>0</v>
      </c>
      <c r="K743" s="37">
        <f t="shared" si="128"/>
        <v>0</v>
      </c>
      <c r="M743" s="37">
        <f t="shared" si="130"/>
        <v>0</v>
      </c>
      <c r="O743" s="4">
        <f t="shared" si="131"/>
        <v>0</v>
      </c>
      <c r="Q743" s="4">
        <f t="shared" si="132"/>
        <v>0</v>
      </c>
      <c r="S743" s="4">
        <f t="shared" si="133"/>
        <v>0</v>
      </c>
      <c r="U743" s="4">
        <f t="shared" si="136"/>
        <v>0</v>
      </c>
      <c r="W743" s="4">
        <f t="shared" si="134"/>
        <v>0</v>
      </c>
      <c r="Y743" s="4">
        <f t="shared" si="135"/>
        <v>0</v>
      </c>
    </row>
    <row r="744" spans="1:25" hidden="1" outlineLevel="1" x14ac:dyDescent="0.35">
      <c r="A744" s="39" t="s">
        <v>1822</v>
      </c>
      <c r="B744" s="39" t="s">
        <v>109</v>
      </c>
      <c r="C744" s="39" t="s">
        <v>109</v>
      </c>
      <c r="D744" s="39" t="s">
        <v>1823</v>
      </c>
      <c r="E744" s="40" t="s">
        <v>441</v>
      </c>
      <c r="F744" s="39" t="s">
        <v>101</v>
      </c>
      <c r="G744" s="39" t="s">
        <v>1824</v>
      </c>
      <c r="H744" s="47">
        <v>0</v>
      </c>
      <c r="I744" s="36">
        <f t="shared" si="129"/>
        <v>0</v>
      </c>
      <c r="J744" s="37">
        <f t="shared" si="127"/>
        <v>0</v>
      </c>
      <c r="K744" s="37">
        <f t="shared" si="128"/>
        <v>0</v>
      </c>
      <c r="M744" s="37">
        <f t="shared" si="130"/>
        <v>0</v>
      </c>
      <c r="O744" s="4">
        <f t="shared" si="131"/>
        <v>0</v>
      </c>
      <c r="Q744" s="4">
        <f t="shared" si="132"/>
        <v>0</v>
      </c>
      <c r="S744" s="4">
        <f t="shared" si="133"/>
        <v>0</v>
      </c>
      <c r="U744" s="4">
        <f t="shared" si="136"/>
        <v>0</v>
      </c>
      <c r="W744" s="4">
        <f t="shared" si="134"/>
        <v>0</v>
      </c>
      <c r="Y744" s="4">
        <f t="shared" si="135"/>
        <v>0</v>
      </c>
    </row>
    <row r="745" spans="1:25" hidden="1" outlineLevel="1" x14ac:dyDescent="0.35">
      <c r="A745" s="39" t="s">
        <v>1825</v>
      </c>
      <c r="B745" s="39" t="s">
        <v>109</v>
      </c>
      <c r="C745" s="39" t="s">
        <v>109</v>
      </c>
      <c r="D745" s="39" t="s">
        <v>109</v>
      </c>
      <c r="E745" s="40" t="s">
        <v>109</v>
      </c>
      <c r="F745" s="39" t="s">
        <v>41</v>
      </c>
      <c r="G745" s="39" t="s">
        <v>110</v>
      </c>
      <c r="H745" s="47">
        <v>0</v>
      </c>
      <c r="I745" s="36">
        <f t="shared" si="129"/>
        <v>0</v>
      </c>
      <c r="J745" s="37">
        <f t="shared" si="127"/>
        <v>0</v>
      </c>
      <c r="K745" s="37">
        <f t="shared" si="128"/>
        <v>0</v>
      </c>
      <c r="M745" s="37">
        <f t="shared" si="130"/>
        <v>0</v>
      </c>
      <c r="O745" s="4">
        <f t="shared" si="131"/>
        <v>0</v>
      </c>
      <c r="Q745" s="4">
        <f t="shared" si="132"/>
        <v>0</v>
      </c>
      <c r="S745" s="4">
        <f t="shared" si="133"/>
        <v>0</v>
      </c>
      <c r="U745" s="4">
        <f t="shared" si="136"/>
        <v>0</v>
      </c>
      <c r="W745" s="4">
        <f t="shared" si="134"/>
        <v>0</v>
      </c>
      <c r="Y745" s="4">
        <f t="shared" si="135"/>
        <v>0</v>
      </c>
    </row>
    <row r="746" spans="1:25" hidden="1" outlineLevel="1" x14ac:dyDescent="0.35">
      <c r="A746" s="39" t="s">
        <v>1826</v>
      </c>
      <c r="B746" s="39" t="s">
        <v>109</v>
      </c>
      <c r="C746" s="39" t="s">
        <v>109</v>
      </c>
      <c r="D746" s="39" t="s">
        <v>1827</v>
      </c>
      <c r="E746" s="40" t="s">
        <v>238</v>
      </c>
      <c r="F746" s="39" t="s">
        <v>41</v>
      </c>
      <c r="G746" s="39" t="s">
        <v>1828</v>
      </c>
      <c r="H746" s="47">
        <v>0</v>
      </c>
      <c r="I746" s="36">
        <f t="shared" si="129"/>
        <v>0</v>
      </c>
      <c r="J746" s="37">
        <f t="shared" si="127"/>
        <v>0</v>
      </c>
      <c r="K746" s="37">
        <f t="shared" si="128"/>
        <v>0</v>
      </c>
      <c r="M746" s="37">
        <f t="shared" si="130"/>
        <v>0</v>
      </c>
      <c r="O746" s="4">
        <f t="shared" si="131"/>
        <v>0</v>
      </c>
      <c r="Q746" s="4">
        <f t="shared" si="132"/>
        <v>0</v>
      </c>
      <c r="S746" s="4">
        <f t="shared" si="133"/>
        <v>0</v>
      </c>
      <c r="U746" s="4">
        <f t="shared" si="136"/>
        <v>0</v>
      </c>
      <c r="W746" s="4">
        <f t="shared" si="134"/>
        <v>0</v>
      </c>
      <c r="Y746" s="4">
        <f t="shared" si="135"/>
        <v>0</v>
      </c>
    </row>
    <row r="747" spans="1:25" hidden="1" outlineLevel="1" x14ac:dyDescent="0.35">
      <c r="A747" s="39" t="s">
        <v>1829</v>
      </c>
      <c r="B747" s="39" t="s">
        <v>109</v>
      </c>
      <c r="C747" s="39" t="s">
        <v>109</v>
      </c>
      <c r="D747" s="39" t="s">
        <v>1830</v>
      </c>
      <c r="E747" s="40" t="s">
        <v>161</v>
      </c>
      <c r="F747" s="39" t="s">
        <v>101</v>
      </c>
      <c r="G747" s="39" t="s">
        <v>1831</v>
      </c>
      <c r="H747" s="47">
        <v>0</v>
      </c>
      <c r="I747" s="36">
        <f t="shared" si="129"/>
        <v>0</v>
      </c>
      <c r="J747" s="37">
        <f t="shared" si="127"/>
        <v>0</v>
      </c>
      <c r="K747" s="37">
        <f t="shared" si="128"/>
        <v>0</v>
      </c>
      <c r="M747" s="37">
        <f t="shared" si="130"/>
        <v>0</v>
      </c>
      <c r="O747" s="4">
        <f t="shared" si="131"/>
        <v>0</v>
      </c>
      <c r="Q747" s="4">
        <f t="shared" si="132"/>
        <v>0</v>
      </c>
      <c r="S747" s="4">
        <f t="shared" si="133"/>
        <v>0</v>
      </c>
      <c r="U747" s="4">
        <f t="shared" si="136"/>
        <v>0</v>
      </c>
      <c r="W747" s="4">
        <f t="shared" si="134"/>
        <v>0</v>
      </c>
      <c r="Y747" s="4">
        <f t="shared" si="135"/>
        <v>0</v>
      </c>
    </row>
    <row r="748" spans="1:25" hidden="1" outlineLevel="1" x14ac:dyDescent="0.35">
      <c r="A748" s="39" t="s">
        <v>1832</v>
      </c>
      <c r="B748" s="39" t="s">
        <v>109</v>
      </c>
      <c r="C748" s="39" t="s">
        <v>109</v>
      </c>
      <c r="D748" s="39" t="s">
        <v>109</v>
      </c>
      <c r="E748" s="40" t="s">
        <v>109</v>
      </c>
      <c r="F748" s="39" t="s">
        <v>41</v>
      </c>
      <c r="G748" s="39" t="s">
        <v>110</v>
      </c>
      <c r="H748" s="47">
        <v>0</v>
      </c>
      <c r="I748" s="36">
        <f t="shared" si="129"/>
        <v>0</v>
      </c>
      <c r="J748" s="37">
        <f t="shared" ref="J748:J811" si="137">H748*$F$7</f>
        <v>0</v>
      </c>
      <c r="K748" s="37">
        <f t="shared" ref="K748:K811" si="138">H748*$G$7</f>
        <v>0</v>
      </c>
      <c r="M748" s="37">
        <f t="shared" si="130"/>
        <v>0</v>
      </c>
      <c r="O748" s="4">
        <f t="shared" si="131"/>
        <v>0</v>
      </c>
      <c r="Q748" s="4">
        <f t="shared" si="132"/>
        <v>0</v>
      </c>
      <c r="S748" s="4">
        <f t="shared" si="133"/>
        <v>0</v>
      </c>
      <c r="U748" s="4">
        <f t="shared" si="136"/>
        <v>0</v>
      </c>
      <c r="W748" s="4">
        <f t="shared" si="134"/>
        <v>0</v>
      </c>
      <c r="Y748" s="4">
        <f t="shared" si="135"/>
        <v>0</v>
      </c>
    </row>
    <row r="749" spans="1:25" hidden="1" outlineLevel="1" x14ac:dyDescent="0.35">
      <c r="A749" s="39" t="s">
        <v>909</v>
      </c>
      <c r="B749" s="39" t="s">
        <v>109</v>
      </c>
      <c r="C749" s="39" t="s">
        <v>109</v>
      </c>
      <c r="D749" s="39" t="s">
        <v>911</v>
      </c>
      <c r="E749" s="40" t="s">
        <v>912</v>
      </c>
      <c r="F749" s="39" t="s">
        <v>101</v>
      </c>
      <c r="G749" s="39" t="s">
        <v>110</v>
      </c>
      <c r="H749" s="47">
        <v>0</v>
      </c>
      <c r="I749" s="36">
        <f t="shared" ref="I749:I812" si="139">$E$7*H749</f>
        <v>0</v>
      </c>
      <c r="J749" s="37">
        <f t="shared" si="137"/>
        <v>0</v>
      </c>
      <c r="K749" s="37">
        <f t="shared" si="138"/>
        <v>0</v>
      </c>
      <c r="M749" s="37">
        <f t="shared" ref="M749:M812" si="140">0.5*(AVERAGE(J749:K749))</f>
        <v>0</v>
      </c>
      <c r="O749" s="4">
        <f t="shared" ref="O749:O812" si="141">I749*$E$3</f>
        <v>0</v>
      </c>
      <c r="Q749" s="4">
        <f t="shared" ref="Q749:Q812" si="142">I749*$E$3/12</f>
        <v>0</v>
      </c>
      <c r="S749" s="4">
        <f t="shared" ref="S749:S812" si="143">Q749*$E$4</f>
        <v>0</v>
      </c>
      <c r="U749" s="4">
        <f t="shared" si="136"/>
        <v>0</v>
      </c>
      <c r="W749" s="4">
        <f t="shared" ref="W749:W812" si="144">S749*$E$5</f>
        <v>0</v>
      </c>
      <c r="Y749" s="4">
        <f t="shared" ref="Y749:Y812" si="145">M749*$E$6</f>
        <v>0</v>
      </c>
    </row>
    <row r="750" spans="1:25" hidden="1" outlineLevel="1" x14ac:dyDescent="0.35">
      <c r="A750" s="39" t="s">
        <v>1833</v>
      </c>
      <c r="B750" s="39" t="s">
        <v>109</v>
      </c>
      <c r="C750" s="39" t="s">
        <v>109</v>
      </c>
      <c r="D750" s="39" t="s">
        <v>1620</v>
      </c>
      <c r="E750" s="40" t="s">
        <v>367</v>
      </c>
      <c r="F750" s="39" t="s">
        <v>41</v>
      </c>
      <c r="G750" s="39" t="s">
        <v>110</v>
      </c>
      <c r="H750" s="47">
        <v>0</v>
      </c>
      <c r="I750" s="36">
        <f t="shared" si="139"/>
        <v>0</v>
      </c>
      <c r="J750" s="37">
        <f t="shared" si="137"/>
        <v>0</v>
      </c>
      <c r="K750" s="37">
        <f t="shared" si="138"/>
        <v>0</v>
      </c>
      <c r="M750" s="37">
        <f t="shared" si="140"/>
        <v>0</v>
      </c>
      <c r="O750" s="4">
        <f t="shared" si="141"/>
        <v>0</v>
      </c>
      <c r="Q750" s="4">
        <f t="shared" si="142"/>
        <v>0</v>
      </c>
      <c r="S750" s="4">
        <f t="shared" si="143"/>
        <v>0</v>
      </c>
      <c r="U750" s="4">
        <f t="shared" ref="U750:U813" si="146">W750*12</f>
        <v>0</v>
      </c>
      <c r="W750" s="4">
        <f t="shared" si="144"/>
        <v>0</v>
      </c>
      <c r="Y750" s="4">
        <f t="shared" si="145"/>
        <v>0</v>
      </c>
    </row>
    <row r="751" spans="1:25" hidden="1" outlineLevel="1" x14ac:dyDescent="0.35">
      <c r="A751" s="39" t="s">
        <v>1834</v>
      </c>
      <c r="B751" s="39" t="s">
        <v>109</v>
      </c>
      <c r="C751" s="39" t="s">
        <v>109</v>
      </c>
      <c r="D751" s="39" t="s">
        <v>1835</v>
      </c>
      <c r="E751" s="40" t="s">
        <v>827</v>
      </c>
      <c r="F751" s="39" t="s">
        <v>101</v>
      </c>
      <c r="G751" s="39" t="s">
        <v>1836</v>
      </c>
      <c r="H751" s="47">
        <v>0</v>
      </c>
      <c r="I751" s="36">
        <f t="shared" si="139"/>
        <v>0</v>
      </c>
      <c r="J751" s="37">
        <f t="shared" si="137"/>
        <v>0</v>
      </c>
      <c r="K751" s="37">
        <f t="shared" si="138"/>
        <v>0</v>
      </c>
      <c r="M751" s="37">
        <f t="shared" si="140"/>
        <v>0</v>
      </c>
      <c r="O751" s="4">
        <f t="shared" si="141"/>
        <v>0</v>
      </c>
      <c r="Q751" s="4">
        <f t="shared" si="142"/>
        <v>0</v>
      </c>
      <c r="S751" s="4">
        <f t="shared" si="143"/>
        <v>0</v>
      </c>
      <c r="U751" s="4">
        <f t="shared" si="146"/>
        <v>0</v>
      </c>
      <c r="W751" s="4">
        <f t="shared" si="144"/>
        <v>0</v>
      </c>
      <c r="Y751" s="4">
        <f t="shared" si="145"/>
        <v>0</v>
      </c>
    </row>
    <row r="752" spans="1:25" hidden="1" outlineLevel="1" x14ac:dyDescent="0.35">
      <c r="A752" s="39" t="s">
        <v>1837</v>
      </c>
      <c r="B752" s="39" t="s">
        <v>109</v>
      </c>
      <c r="C752" s="39" t="s">
        <v>109</v>
      </c>
      <c r="D752" s="39" t="s">
        <v>109</v>
      </c>
      <c r="E752" s="40" t="s">
        <v>109</v>
      </c>
      <c r="F752" s="39" t="s">
        <v>41</v>
      </c>
      <c r="G752" s="39" t="s">
        <v>110</v>
      </c>
      <c r="H752" s="47">
        <v>0</v>
      </c>
      <c r="I752" s="36">
        <f t="shared" si="139"/>
        <v>0</v>
      </c>
      <c r="J752" s="37">
        <f t="shared" si="137"/>
        <v>0</v>
      </c>
      <c r="K752" s="37">
        <f t="shared" si="138"/>
        <v>0</v>
      </c>
      <c r="M752" s="37">
        <f t="shared" si="140"/>
        <v>0</v>
      </c>
      <c r="O752" s="4">
        <f t="shared" si="141"/>
        <v>0</v>
      </c>
      <c r="Q752" s="4">
        <f t="shared" si="142"/>
        <v>0</v>
      </c>
      <c r="S752" s="4">
        <f t="shared" si="143"/>
        <v>0</v>
      </c>
      <c r="U752" s="4">
        <f t="shared" si="146"/>
        <v>0</v>
      </c>
      <c r="W752" s="4">
        <f t="shared" si="144"/>
        <v>0</v>
      </c>
      <c r="Y752" s="4">
        <f t="shared" si="145"/>
        <v>0</v>
      </c>
    </row>
    <row r="753" spans="1:25" hidden="1" outlineLevel="1" x14ac:dyDescent="0.35">
      <c r="A753" s="39" t="s">
        <v>1838</v>
      </c>
      <c r="B753" s="39" t="s">
        <v>109</v>
      </c>
      <c r="C753" s="39" t="s">
        <v>109</v>
      </c>
      <c r="D753" s="39" t="s">
        <v>848</v>
      </c>
      <c r="E753" s="40" t="s">
        <v>165</v>
      </c>
      <c r="F753" s="39" t="s">
        <v>41</v>
      </c>
      <c r="G753" s="39" t="s">
        <v>110</v>
      </c>
      <c r="H753" s="47">
        <v>0</v>
      </c>
      <c r="I753" s="36">
        <f t="shared" si="139"/>
        <v>0</v>
      </c>
      <c r="J753" s="37">
        <f t="shared" si="137"/>
        <v>0</v>
      </c>
      <c r="K753" s="37">
        <f t="shared" si="138"/>
        <v>0</v>
      </c>
      <c r="M753" s="37">
        <f t="shared" si="140"/>
        <v>0</v>
      </c>
      <c r="O753" s="4">
        <f t="shared" si="141"/>
        <v>0</v>
      </c>
      <c r="Q753" s="4">
        <f t="shared" si="142"/>
        <v>0</v>
      </c>
      <c r="S753" s="4">
        <f t="shared" si="143"/>
        <v>0</v>
      </c>
      <c r="U753" s="4">
        <f t="shared" si="146"/>
        <v>0</v>
      </c>
      <c r="W753" s="4">
        <f t="shared" si="144"/>
        <v>0</v>
      </c>
      <c r="Y753" s="4">
        <f t="shared" si="145"/>
        <v>0</v>
      </c>
    </row>
    <row r="754" spans="1:25" hidden="1" outlineLevel="1" x14ac:dyDescent="0.35">
      <c r="A754" s="39" t="s">
        <v>1839</v>
      </c>
      <c r="B754" s="39" t="s">
        <v>109</v>
      </c>
      <c r="C754" s="39" t="s">
        <v>109</v>
      </c>
      <c r="D754" s="39" t="s">
        <v>1840</v>
      </c>
      <c r="E754" s="40" t="s">
        <v>146</v>
      </c>
      <c r="F754" s="39" t="s">
        <v>41</v>
      </c>
      <c r="G754" s="39" t="s">
        <v>1841</v>
      </c>
      <c r="H754" s="47">
        <v>0</v>
      </c>
      <c r="I754" s="36">
        <f t="shared" si="139"/>
        <v>0</v>
      </c>
      <c r="J754" s="37">
        <f t="shared" si="137"/>
        <v>0</v>
      </c>
      <c r="K754" s="37">
        <f t="shared" si="138"/>
        <v>0</v>
      </c>
      <c r="M754" s="37">
        <f t="shared" si="140"/>
        <v>0</v>
      </c>
      <c r="O754" s="4">
        <f t="shared" si="141"/>
        <v>0</v>
      </c>
      <c r="Q754" s="4">
        <f t="shared" si="142"/>
        <v>0</v>
      </c>
      <c r="S754" s="4">
        <f t="shared" si="143"/>
        <v>0</v>
      </c>
      <c r="U754" s="4">
        <f t="shared" si="146"/>
        <v>0</v>
      </c>
      <c r="W754" s="4">
        <f t="shared" si="144"/>
        <v>0</v>
      </c>
      <c r="Y754" s="4">
        <f t="shared" si="145"/>
        <v>0</v>
      </c>
    </row>
    <row r="755" spans="1:25" hidden="1" outlineLevel="1" x14ac:dyDescent="0.35">
      <c r="A755" s="39" t="s">
        <v>1842</v>
      </c>
      <c r="B755" s="39" t="s">
        <v>109</v>
      </c>
      <c r="C755" s="39" t="s">
        <v>109</v>
      </c>
      <c r="D755" s="39" t="s">
        <v>1843</v>
      </c>
      <c r="E755" s="40" t="s">
        <v>302</v>
      </c>
      <c r="F755" s="39" t="s">
        <v>41</v>
      </c>
      <c r="G755" s="39" t="s">
        <v>110</v>
      </c>
      <c r="H755" s="47">
        <v>0</v>
      </c>
      <c r="I755" s="36">
        <f t="shared" si="139"/>
        <v>0</v>
      </c>
      <c r="J755" s="37">
        <f t="shared" si="137"/>
        <v>0</v>
      </c>
      <c r="K755" s="37">
        <f t="shared" si="138"/>
        <v>0</v>
      </c>
      <c r="M755" s="37">
        <f t="shared" si="140"/>
        <v>0</v>
      </c>
      <c r="O755" s="4">
        <f t="shared" si="141"/>
        <v>0</v>
      </c>
      <c r="Q755" s="4">
        <f t="shared" si="142"/>
        <v>0</v>
      </c>
      <c r="S755" s="4">
        <f t="shared" si="143"/>
        <v>0</v>
      </c>
      <c r="U755" s="4">
        <f t="shared" si="146"/>
        <v>0</v>
      </c>
      <c r="W755" s="4">
        <f t="shared" si="144"/>
        <v>0</v>
      </c>
      <c r="Y755" s="4">
        <f t="shared" si="145"/>
        <v>0</v>
      </c>
    </row>
    <row r="756" spans="1:25" hidden="1" outlineLevel="1" x14ac:dyDescent="0.35">
      <c r="A756" s="39" t="s">
        <v>1844</v>
      </c>
      <c r="B756" s="39" t="s">
        <v>109</v>
      </c>
      <c r="C756" s="39" t="s">
        <v>109</v>
      </c>
      <c r="D756" s="39" t="s">
        <v>1845</v>
      </c>
      <c r="E756" s="40" t="s">
        <v>784</v>
      </c>
      <c r="F756" s="39" t="s">
        <v>41</v>
      </c>
      <c r="G756" s="39" t="s">
        <v>110</v>
      </c>
      <c r="H756" s="47">
        <v>0</v>
      </c>
      <c r="I756" s="36">
        <f t="shared" si="139"/>
        <v>0</v>
      </c>
      <c r="J756" s="37">
        <f t="shared" si="137"/>
        <v>0</v>
      </c>
      <c r="K756" s="37">
        <f t="shared" si="138"/>
        <v>0</v>
      </c>
      <c r="M756" s="37">
        <f t="shared" si="140"/>
        <v>0</v>
      </c>
      <c r="O756" s="4">
        <f t="shared" si="141"/>
        <v>0</v>
      </c>
      <c r="Q756" s="4">
        <f t="shared" si="142"/>
        <v>0</v>
      </c>
      <c r="S756" s="4">
        <f t="shared" si="143"/>
        <v>0</v>
      </c>
      <c r="U756" s="4">
        <f t="shared" si="146"/>
        <v>0</v>
      </c>
      <c r="W756" s="4">
        <f t="shared" si="144"/>
        <v>0</v>
      </c>
      <c r="Y756" s="4">
        <f t="shared" si="145"/>
        <v>0</v>
      </c>
    </row>
    <row r="757" spans="1:25" hidden="1" outlineLevel="1" x14ac:dyDescent="0.35">
      <c r="A757" s="39" t="s">
        <v>1846</v>
      </c>
      <c r="B757" s="39" t="s">
        <v>109</v>
      </c>
      <c r="C757" s="39" t="s">
        <v>109</v>
      </c>
      <c r="D757" s="39" t="s">
        <v>1604</v>
      </c>
      <c r="E757" s="40" t="s">
        <v>146</v>
      </c>
      <c r="F757" s="39" t="s">
        <v>41</v>
      </c>
      <c r="G757" s="39" t="s">
        <v>1847</v>
      </c>
      <c r="H757" s="47">
        <v>0</v>
      </c>
      <c r="I757" s="36">
        <f t="shared" si="139"/>
        <v>0</v>
      </c>
      <c r="J757" s="37">
        <f t="shared" si="137"/>
        <v>0</v>
      </c>
      <c r="K757" s="37">
        <f t="shared" si="138"/>
        <v>0</v>
      </c>
      <c r="M757" s="37">
        <f t="shared" si="140"/>
        <v>0</v>
      </c>
      <c r="O757" s="4">
        <f t="shared" si="141"/>
        <v>0</v>
      </c>
      <c r="Q757" s="4">
        <f t="shared" si="142"/>
        <v>0</v>
      </c>
      <c r="S757" s="4">
        <f t="shared" si="143"/>
        <v>0</v>
      </c>
      <c r="U757" s="4">
        <f t="shared" si="146"/>
        <v>0</v>
      </c>
      <c r="W757" s="4">
        <f t="shared" si="144"/>
        <v>0</v>
      </c>
      <c r="Y757" s="4">
        <f t="shared" si="145"/>
        <v>0</v>
      </c>
    </row>
    <row r="758" spans="1:25" hidden="1" outlineLevel="1" x14ac:dyDescent="0.35">
      <c r="A758" s="39" t="s">
        <v>1848</v>
      </c>
      <c r="B758" s="39" t="s">
        <v>109</v>
      </c>
      <c r="C758" s="39" t="s">
        <v>109</v>
      </c>
      <c r="D758" s="39" t="s">
        <v>109</v>
      </c>
      <c r="E758" s="40" t="s">
        <v>109</v>
      </c>
      <c r="F758" s="39" t="s">
        <v>101</v>
      </c>
      <c r="G758" s="39" t="s">
        <v>1849</v>
      </c>
      <c r="H758" s="47">
        <v>0</v>
      </c>
      <c r="I758" s="36">
        <f t="shared" si="139"/>
        <v>0</v>
      </c>
      <c r="J758" s="37">
        <f t="shared" si="137"/>
        <v>0</v>
      </c>
      <c r="K758" s="37">
        <f t="shared" si="138"/>
        <v>0</v>
      </c>
      <c r="M758" s="37">
        <f t="shared" si="140"/>
        <v>0</v>
      </c>
      <c r="O758" s="4">
        <f t="shared" si="141"/>
        <v>0</v>
      </c>
      <c r="Q758" s="4">
        <f t="shared" si="142"/>
        <v>0</v>
      </c>
      <c r="S758" s="4">
        <f t="shared" si="143"/>
        <v>0</v>
      </c>
      <c r="U758" s="4">
        <f t="shared" si="146"/>
        <v>0</v>
      </c>
      <c r="W758" s="4">
        <f t="shared" si="144"/>
        <v>0</v>
      </c>
      <c r="Y758" s="4">
        <f t="shared" si="145"/>
        <v>0</v>
      </c>
    </row>
    <row r="759" spans="1:25" hidden="1" outlineLevel="1" x14ac:dyDescent="0.35">
      <c r="A759" s="39" t="s">
        <v>1850</v>
      </c>
      <c r="B759" s="39" t="s">
        <v>109</v>
      </c>
      <c r="C759" s="39" t="s">
        <v>109</v>
      </c>
      <c r="D759" s="39" t="s">
        <v>1851</v>
      </c>
      <c r="E759" s="40" t="s">
        <v>114</v>
      </c>
      <c r="F759" s="39" t="s">
        <v>41</v>
      </c>
      <c r="G759" s="39" t="s">
        <v>110</v>
      </c>
      <c r="H759" s="47">
        <v>0</v>
      </c>
      <c r="I759" s="36">
        <f t="shared" si="139"/>
        <v>0</v>
      </c>
      <c r="J759" s="37">
        <f t="shared" si="137"/>
        <v>0</v>
      </c>
      <c r="K759" s="37">
        <f t="shared" si="138"/>
        <v>0</v>
      </c>
      <c r="M759" s="37">
        <f t="shared" si="140"/>
        <v>0</v>
      </c>
      <c r="O759" s="4">
        <f t="shared" si="141"/>
        <v>0</v>
      </c>
      <c r="Q759" s="4">
        <f t="shared" si="142"/>
        <v>0</v>
      </c>
      <c r="S759" s="4">
        <f t="shared" si="143"/>
        <v>0</v>
      </c>
      <c r="U759" s="4">
        <f t="shared" si="146"/>
        <v>0</v>
      </c>
      <c r="W759" s="4">
        <f t="shared" si="144"/>
        <v>0</v>
      </c>
      <c r="Y759" s="4">
        <f t="shared" si="145"/>
        <v>0</v>
      </c>
    </row>
    <row r="760" spans="1:25" hidden="1" outlineLevel="1" x14ac:dyDescent="0.35">
      <c r="A760" s="39" t="s">
        <v>1852</v>
      </c>
      <c r="B760" s="39" t="s">
        <v>109</v>
      </c>
      <c r="C760" s="39" t="s">
        <v>109</v>
      </c>
      <c r="D760" s="39" t="s">
        <v>99</v>
      </c>
      <c r="E760" s="40" t="s">
        <v>100</v>
      </c>
      <c r="F760" s="39" t="s">
        <v>101</v>
      </c>
      <c r="G760" s="39" t="s">
        <v>1853</v>
      </c>
      <c r="H760" s="47">
        <v>0</v>
      </c>
      <c r="I760" s="36">
        <f t="shared" si="139"/>
        <v>0</v>
      </c>
      <c r="J760" s="37">
        <f t="shared" si="137"/>
        <v>0</v>
      </c>
      <c r="K760" s="37">
        <f t="shared" si="138"/>
        <v>0</v>
      </c>
      <c r="M760" s="37">
        <f t="shared" si="140"/>
        <v>0</v>
      </c>
      <c r="O760" s="4">
        <f t="shared" si="141"/>
        <v>0</v>
      </c>
      <c r="Q760" s="4">
        <f t="shared" si="142"/>
        <v>0</v>
      </c>
      <c r="S760" s="4">
        <f t="shared" si="143"/>
        <v>0</v>
      </c>
      <c r="U760" s="4">
        <f t="shared" si="146"/>
        <v>0</v>
      </c>
      <c r="W760" s="4">
        <f t="shared" si="144"/>
        <v>0</v>
      </c>
      <c r="Y760" s="4">
        <f t="shared" si="145"/>
        <v>0</v>
      </c>
    </row>
    <row r="761" spans="1:25" hidden="1" outlineLevel="1" x14ac:dyDescent="0.35">
      <c r="A761" s="39" t="s">
        <v>1854</v>
      </c>
      <c r="B761" s="39" t="s">
        <v>109</v>
      </c>
      <c r="C761" s="39" t="s">
        <v>109</v>
      </c>
      <c r="D761" s="39" t="s">
        <v>1855</v>
      </c>
      <c r="E761" s="40" t="s">
        <v>91</v>
      </c>
      <c r="F761" s="39" t="s">
        <v>41</v>
      </c>
      <c r="G761" s="39" t="s">
        <v>110</v>
      </c>
      <c r="H761" s="47">
        <v>0</v>
      </c>
      <c r="I761" s="36">
        <f t="shared" si="139"/>
        <v>0</v>
      </c>
      <c r="J761" s="37">
        <f t="shared" si="137"/>
        <v>0</v>
      </c>
      <c r="K761" s="37">
        <f t="shared" si="138"/>
        <v>0</v>
      </c>
      <c r="M761" s="37">
        <f t="shared" si="140"/>
        <v>0</v>
      </c>
      <c r="O761" s="4">
        <f t="shared" si="141"/>
        <v>0</v>
      </c>
      <c r="Q761" s="4">
        <f t="shared" si="142"/>
        <v>0</v>
      </c>
      <c r="S761" s="4">
        <f t="shared" si="143"/>
        <v>0</v>
      </c>
      <c r="U761" s="4">
        <f t="shared" si="146"/>
        <v>0</v>
      </c>
      <c r="W761" s="4">
        <f t="shared" si="144"/>
        <v>0</v>
      </c>
      <c r="Y761" s="4">
        <f t="shared" si="145"/>
        <v>0</v>
      </c>
    </row>
    <row r="762" spans="1:25" hidden="1" outlineLevel="1" x14ac:dyDescent="0.35">
      <c r="A762" s="39" t="s">
        <v>1856</v>
      </c>
      <c r="B762" s="39" t="s">
        <v>109</v>
      </c>
      <c r="C762" s="39" t="s">
        <v>109</v>
      </c>
      <c r="D762" s="39" t="s">
        <v>1857</v>
      </c>
      <c r="E762" s="40" t="s">
        <v>66</v>
      </c>
      <c r="F762" s="39" t="s">
        <v>41</v>
      </c>
      <c r="G762" s="39" t="s">
        <v>110</v>
      </c>
      <c r="H762" s="47">
        <v>0</v>
      </c>
      <c r="I762" s="36">
        <f t="shared" si="139"/>
        <v>0</v>
      </c>
      <c r="J762" s="37">
        <f t="shared" si="137"/>
        <v>0</v>
      </c>
      <c r="K762" s="37">
        <f t="shared" si="138"/>
        <v>0</v>
      </c>
      <c r="M762" s="37">
        <f t="shared" si="140"/>
        <v>0</v>
      </c>
      <c r="O762" s="4">
        <f t="shared" si="141"/>
        <v>0</v>
      </c>
      <c r="Q762" s="4">
        <f t="shared" si="142"/>
        <v>0</v>
      </c>
      <c r="S762" s="4">
        <f t="shared" si="143"/>
        <v>0</v>
      </c>
      <c r="U762" s="4">
        <f t="shared" si="146"/>
        <v>0</v>
      </c>
      <c r="W762" s="4">
        <f t="shared" si="144"/>
        <v>0</v>
      </c>
      <c r="Y762" s="4">
        <f t="shared" si="145"/>
        <v>0</v>
      </c>
    </row>
    <row r="763" spans="1:25" hidden="1" outlineLevel="1" x14ac:dyDescent="0.35">
      <c r="A763" s="39" t="s">
        <v>1858</v>
      </c>
      <c r="B763" s="39" t="s">
        <v>109</v>
      </c>
      <c r="C763" s="39" t="s">
        <v>109</v>
      </c>
      <c r="D763" s="39" t="s">
        <v>1859</v>
      </c>
      <c r="E763" s="40" t="s">
        <v>784</v>
      </c>
      <c r="F763" s="39" t="s">
        <v>41</v>
      </c>
      <c r="G763" s="39" t="s">
        <v>110</v>
      </c>
      <c r="H763" s="47">
        <v>0</v>
      </c>
      <c r="I763" s="36">
        <f t="shared" si="139"/>
        <v>0</v>
      </c>
      <c r="J763" s="37">
        <f t="shared" si="137"/>
        <v>0</v>
      </c>
      <c r="K763" s="37">
        <f t="shared" si="138"/>
        <v>0</v>
      </c>
      <c r="M763" s="37">
        <f t="shared" si="140"/>
        <v>0</v>
      </c>
      <c r="O763" s="4">
        <f t="shared" si="141"/>
        <v>0</v>
      </c>
      <c r="Q763" s="4">
        <f t="shared" si="142"/>
        <v>0</v>
      </c>
      <c r="S763" s="4">
        <f t="shared" si="143"/>
        <v>0</v>
      </c>
      <c r="U763" s="4">
        <f t="shared" si="146"/>
        <v>0</v>
      </c>
      <c r="W763" s="4">
        <f t="shared" si="144"/>
        <v>0</v>
      </c>
      <c r="Y763" s="4">
        <f t="shared" si="145"/>
        <v>0</v>
      </c>
    </row>
    <row r="764" spans="1:25" hidden="1" outlineLevel="1" x14ac:dyDescent="0.35">
      <c r="A764" s="39" t="s">
        <v>1860</v>
      </c>
      <c r="B764" s="39" t="s">
        <v>109</v>
      </c>
      <c r="C764" s="39" t="s">
        <v>1861</v>
      </c>
      <c r="D764" s="39" t="s">
        <v>1862</v>
      </c>
      <c r="E764" s="40" t="s">
        <v>95</v>
      </c>
      <c r="F764" s="39" t="s">
        <v>41</v>
      </c>
      <c r="G764" s="39" t="s">
        <v>110</v>
      </c>
      <c r="H764" s="47">
        <v>0</v>
      </c>
      <c r="I764" s="36">
        <f t="shared" si="139"/>
        <v>0</v>
      </c>
      <c r="J764" s="37">
        <f t="shared" si="137"/>
        <v>0</v>
      </c>
      <c r="K764" s="37">
        <f t="shared" si="138"/>
        <v>0</v>
      </c>
      <c r="M764" s="37">
        <f t="shared" si="140"/>
        <v>0</v>
      </c>
      <c r="O764" s="4">
        <f t="shared" si="141"/>
        <v>0</v>
      </c>
      <c r="Q764" s="4">
        <f t="shared" si="142"/>
        <v>0</v>
      </c>
      <c r="S764" s="4">
        <f t="shared" si="143"/>
        <v>0</v>
      </c>
      <c r="U764" s="4">
        <f t="shared" si="146"/>
        <v>0</v>
      </c>
      <c r="W764" s="4">
        <f t="shared" si="144"/>
        <v>0</v>
      </c>
      <c r="Y764" s="4">
        <f t="shared" si="145"/>
        <v>0</v>
      </c>
    </row>
    <row r="765" spans="1:25" hidden="1" outlineLevel="1" x14ac:dyDescent="0.35">
      <c r="A765" s="39" t="s">
        <v>1863</v>
      </c>
      <c r="B765" s="39" t="s">
        <v>109</v>
      </c>
      <c r="C765" s="39" t="s">
        <v>109</v>
      </c>
      <c r="D765" s="39" t="s">
        <v>1843</v>
      </c>
      <c r="E765" s="40" t="s">
        <v>302</v>
      </c>
      <c r="F765" s="39" t="s">
        <v>41</v>
      </c>
      <c r="G765" s="39" t="s">
        <v>110</v>
      </c>
      <c r="H765" s="47">
        <v>0</v>
      </c>
      <c r="I765" s="36">
        <f t="shared" si="139"/>
        <v>0</v>
      </c>
      <c r="J765" s="37">
        <f t="shared" si="137"/>
        <v>0</v>
      </c>
      <c r="K765" s="37">
        <f t="shared" si="138"/>
        <v>0</v>
      </c>
      <c r="M765" s="37">
        <f t="shared" si="140"/>
        <v>0</v>
      </c>
      <c r="O765" s="4">
        <f t="shared" si="141"/>
        <v>0</v>
      </c>
      <c r="Q765" s="4">
        <f t="shared" si="142"/>
        <v>0</v>
      </c>
      <c r="S765" s="4">
        <f t="shared" si="143"/>
        <v>0</v>
      </c>
      <c r="U765" s="4">
        <f t="shared" si="146"/>
        <v>0</v>
      </c>
      <c r="W765" s="4">
        <f t="shared" si="144"/>
        <v>0</v>
      </c>
      <c r="Y765" s="4">
        <f t="shared" si="145"/>
        <v>0</v>
      </c>
    </row>
    <row r="766" spans="1:25" hidden="1" outlineLevel="1" x14ac:dyDescent="0.35">
      <c r="A766" s="39" t="s">
        <v>1864</v>
      </c>
      <c r="B766" s="39" t="s">
        <v>109</v>
      </c>
      <c r="C766" s="39" t="s">
        <v>109</v>
      </c>
      <c r="D766" s="39" t="s">
        <v>1865</v>
      </c>
      <c r="E766" s="40" t="s">
        <v>302</v>
      </c>
      <c r="F766" s="39" t="s">
        <v>41</v>
      </c>
      <c r="G766" s="39" t="s">
        <v>110</v>
      </c>
      <c r="H766" s="47">
        <v>0</v>
      </c>
      <c r="I766" s="36">
        <f t="shared" si="139"/>
        <v>0</v>
      </c>
      <c r="J766" s="37">
        <f t="shared" si="137"/>
        <v>0</v>
      </c>
      <c r="K766" s="37">
        <f t="shared" si="138"/>
        <v>0</v>
      </c>
      <c r="M766" s="37">
        <f t="shared" si="140"/>
        <v>0</v>
      </c>
      <c r="O766" s="4">
        <f t="shared" si="141"/>
        <v>0</v>
      </c>
      <c r="Q766" s="4">
        <f t="shared" si="142"/>
        <v>0</v>
      </c>
      <c r="S766" s="4">
        <f t="shared" si="143"/>
        <v>0</v>
      </c>
      <c r="U766" s="4">
        <f t="shared" si="146"/>
        <v>0</v>
      </c>
      <c r="W766" s="4">
        <f t="shared" si="144"/>
        <v>0</v>
      </c>
      <c r="Y766" s="4">
        <f t="shared" si="145"/>
        <v>0</v>
      </c>
    </row>
    <row r="767" spans="1:25" hidden="1" outlineLevel="1" x14ac:dyDescent="0.35">
      <c r="A767" s="39" t="s">
        <v>1866</v>
      </c>
      <c r="B767" s="39" t="s">
        <v>109</v>
      </c>
      <c r="C767" s="39" t="s">
        <v>109</v>
      </c>
      <c r="D767" s="39" t="s">
        <v>1867</v>
      </c>
      <c r="E767" s="40" t="s">
        <v>538</v>
      </c>
      <c r="F767" s="39" t="s">
        <v>41</v>
      </c>
      <c r="G767" s="39" t="s">
        <v>110</v>
      </c>
      <c r="H767" s="47">
        <v>0</v>
      </c>
      <c r="I767" s="36">
        <f t="shared" si="139"/>
        <v>0</v>
      </c>
      <c r="J767" s="37">
        <f t="shared" si="137"/>
        <v>0</v>
      </c>
      <c r="K767" s="37">
        <f t="shared" si="138"/>
        <v>0</v>
      </c>
      <c r="M767" s="37">
        <f t="shared" si="140"/>
        <v>0</v>
      </c>
      <c r="O767" s="4">
        <f t="shared" si="141"/>
        <v>0</v>
      </c>
      <c r="Q767" s="4">
        <f t="shared" si="142"/>
        <v>0</v>
      </c>
      <c r="S767" s="4">
        <f t="shared" si="143"/>
        <v>0</v>
      </c>
      <c r="U767" s="4">
        <f t="shared" si="146"/>
        <v>0</v>
      </c>
      <c r="W767" s="4">
        <f t="shared" si="144"/>
        <v>0</v>
      </c>
      <c r="Y767" s="4">
        <f t="shared" si="145"/>
        <v>0</v>
      </c>
    </row>
    <row r="768" spans="1:25" hidden="1" outlineLevel="1" x14ac:dyDescent="0.35">
      <c r="A768" s="39" t="s">
        <v>1868</v>
      </c>
      <c r="B768" s="39" t="s">
        <v>109</v>
      </c>
      <c r="C768" s="39" t="s">
        <v>109</v>
      </c>
      <c r="D768" s="39" t="s">
        <v>1869</v>
      </c>
      <c r="E768" s="40" t="s">
        <v>186</v>
      </c>
      <c r="F768" s="39" t="s">
        <v>41</v>
      </c>
      <c r="G768" s="39" t="s">
        <v>110</v>
      </c>
      <c r="H768" s="47">
        <v>0</v>
      </c>
      <c r="I768" s="36">
        <f t="shared" si="139"/>
        <v>0</v>
      </c>
      <c r="J768" s="37">
        <f t="shared" si="137"/>
        <v>0</v>
      </c>
      <c r="K768" s="37">
        <f t="shared" si="138"/>
        <v>0</v>
      </c>
      <c r="M768" s="37">
        <f t="shared" si="140"/>
        <v>0</v>
      </c>
      <c r="O768" s="4">
        <f t="shared" si="141"/>
        <v>0</v>
      </c>
      <c r="Q768" s="4">
        <f t="shared" si="142"/>
        <v>0</v>
      </c>
      <c r="S768" s="4">
        <f t="shared" si="143"/>
        <v>0</v>
      </c>
      <c r="U768" s="4">
        <f t="shared" si="146"/>
        <v>0</v>
      </c>
      <c r="W768" s="4">
        <f t="shared" si="144"/>
        <v>0</v>
      </c>
      <c r="Y768" s="4">
        <f t="shared" si="145"/>
        <v>0</v>
      </c>
    </row>
    <row r="769" spans="1:25" hidden="1" outlineLevel="1" x14ac:dyDescent="0.35">
      <c r="A769" s="39" t="s">
        <v>1870</v>
      </c>
      <c r="B769" s="39" t="s">
        <v>109</v>
      </c>
      <c r="C769" s="39" t="s">
        <v>109</v>
      </c>
      <c r="D769" s="39" t="s">
        <v>109</v>
      </c>
      <c r="E769" s="40" t="s">
        <v>109</v>
      </c>
      <c r="F769" s="39" t="s">
        <v>41</v>
      </c>
      <c r="G769" s="39" t="s">
        <v>110</v>
      </c>
      <c r="H769" s="47">
        <v>0</v>
      </c>
      <c r="I769" s="36">
        <f t="shared" si="139"/>
        <v>0</v>
      </c>
      <c r="J769" s="37">
        <f t="shared" si="137"/>
        <v>0</v>
      </c>
      <c r="K769" s="37">
        <f t="shared" si="138"/>
        <v>0</v>
      </c>
      <c r="M769" s="37">
        <f t="shared" si="140"/>
        <v>0</v>
      </c>
      <c r="O769" s="4">
        <f t="shared" si="141"/>
        <v>0</v>
      </c>
      <c r="Q769" s="4">
        <f t="shared" si="142"/>
        <v>0</v>
      </c>
      <c r="S769" s="4">
        <f t="shared" si="143"/>
        <v>0</v>
      </c>
      <c r="U769" s="4">
        <f t="shared" si="146"/>
        <v>0</v>
      </c>
      <c r="W769" s="4">
        <f t="shared" si="144"/>
        <v>0</v>
      </c>
      <c r="Y769" s="4">
        <f t="shared" si="145"/>
        <v>0</v>
      </c>
    </row>
    <row r="770" spans="1:25" hidden="1" outlineLevel="1" x14ac:dyDescent="0.35">
      <c r="A770" s="39" t="s">
        <v>1871</v>
      </c>
      <c r="B770" s="39" t="s">
        <v>109</v>
      </c>
      <c r="C770" s="39" t="s">
        <v>1872</v>
      </c>
      <c r="D770" s="39" t="s">
        <v>1873</v>
      </c>
      <c r="E770" s="40" t="s">
        <v>161</v>
      </c>
      <c r="F770" s="39" t="s">
        <v>101</v>
      </c>
      <c r="G770" s="39" t="s">
        <v>110</v>
      </c>
      <c r="H770" s="47">
        <v>0</v>
      </c>
      <c r="I770" s="36">
        <f t="shared" si="139"/>
        <v>0</v>
      </c>
      <c r="J770" s="37">
        <f t="shared" si="137"/>
        <v>0</v>
      </c>
      <c r="K770" s="37">
        <f t="shared" si="138"/>
        <v>0</v>
      </c>
      <c r="M770" s="37">
        <f t="shared" si="140"/>
        <v>0</v>
      </c>
      <c r="O770" s="4">
        <f t="shared" si="141"/>
        <v>0</v>
      </c>
      <c r="Q770" s="4">
        <f t="shared" si="142"/>
        <v>0</v>
      </c>
      <c r="S770" s="4">
        <f t="shared" si="143"/>
        <v>0</v>
      </c>
      <c r="U770" s="4">
        <f t="shared" si="146"/>
        <v>0</v>
      </c>
      <c r="W770" s="4">
        <f t="shared" si="144"/>
        <v>0</v>
      </c>
      <c r="Y770" s="4">
        <f t="shared" si="145"/>
        <v>0</v>
      </c>
    </row>
    <row r="771" spans="1:25" hidden="1" outlineLevel="1" x14ac:dyDescent="0.35">
      <c r="A771" s="39" t="s">
        <v>1874</v>
      </c>
      <c r="B771" s="39" t="s">
        <v>109</v>
      </c>
      <c r="C771" s="39" t="s">
        <v>109</v>
      </c>
      <c r="D771" s="39" t="s">
        <v>109</v>
      </c>
      <c r="E771" s="40" t="s">
        <v>109</v>
      </c>
      <c r="F771" s="39" t="s">
        <v>41</v>
      </c>
      <c r="G771" s="39" t="s">
        <v>110</v>
      </c>
      <c r="H771" s="47">
        <v>0</v>
      </c>
      <c r="I771" s="36">
        <f t="shared" si="139"/>
        <v>0</v>
      </c>
      <c r="J771" s="37">
        <f t="shared" si="137"/>
        <v>0</v>
      </c>
      <c r="K771" s="37">
        <f t="shared" si="138"/>
        <v>0</v>
      </c>
      <c r="M771" s="37">
        <f t="shared" si="140"/>
        <v>0</v>
      </c>
      <c r="O771" s="4">
        <f t="shared" si="141"/>
        <v>0</v>
      </c>
      <c r="Q771" s="4">
        <f t="shared" si="142"/>
        <v>0</v>
      </c>
      <c r="S771" s="4">
        <f t="shared" si="143"/>
        <v>0</v>
      </c>
      <c r="U771" s="4">
        <f t="shared" si="146"/>
        <v>0</v>
      </c>
      <c r="W771" s="4">
        <f t="shared" si="144"/>
        <v>0</v>
      </c>
      <c r="Y771" s="4">
        <f t="shared" si="145"/>
        <v>0</v>
      </c>
    </row>
    <row r="772" spans="1:25" hidden="1" outlineLevel="1" x14ac:dyDescent="0.35">
      <c r="A772" s="39" t="s">
        <v>1875</v>
      </c>
      <c r="B772" s="39" t="s">
        <v>109</v>
      </c>
      <c r="C772" s="39" t="s">
        <v>109</v>
      </c>
      <c r="D772" s="39" t="s">
        <v>1876</v>
      </c>
      <c r="E772" s="40" t="s">
        <v>51</v>
      </c>
      <c r="F772" s="39" t="s">
        <v>41</v>
      </c>
      <c r="G772" s="39" t="s">
        <v>110</v>
      </c>
      <c r="H772" s="47">
        <v>0</v>
      </c>
      <c r="I772" s="36">
        <f t="shared" si="139"/>
        <v>0</v>
      </c>
      <c r="J772" s="37">
        <f t="shared" si="137"/>
        <v>0</v>
      </c>
      <c r="K772" s="37">
        <f t="shared" si="138"/>
        <v>0</v>
      </c>
      <c r="M772" s="37">
        <f t="shared" si="140"/>
        <v>0</v>
      </c>
      <c r="O772" s="4">
        <f t="shared" si="141"/>
        <v>0</v>
      </c>
      <c r="Q772" s="4">
        <f t="shared" si="142"/>
        <v>0</v>
      </c>
      <c r="S772" s="4">
        <f t="shared" si="143"/>
        <v>0</v>
      </c>
      <c r="U772" s="4">
        <f t="shared" si="146"/>
        <v>0</v>
      </c>
      <c r="W772" s="4">
        <f t="shared" si="144"/>
        <v>0</v>
      </c>
      <c r="Y772" s="4">
        <f t="shared" si="145"/>
        <v>0</v>
      </c>
    </row>
    <row r="773" spans="1:25" hidden="1" outlineLevel="1" x14ac:dyDescent="0.35">
      <c r="A773" s="39" t="s">
        <v>1877</v>
      </c>
      <c r="B773" s="39" t="s">
        <v>109</v>
      </c>
      <c r="C773" s="39" t="s">
        <v>1878</v>
      </c>
      <c r="D773" s="39" t="s">
        <v>1879</v>
      </c>
      <c r="E773" s="40" t="s">
        <v>784</v>
      </c>
      <c r="F773" s="39" t="s">
        <v>41</v>
      </c>
      <c r="G773" s="39" t="s">
        <v>110</v>
      </c>
      <c r="H773" s="47">
        <v>0</v>
      </c>
      <c r="I773" s="36">
        <f t="shared" si="139"/>
        <v>0</v>
      </c>
      <c r="J773" s="37">
        <f t="shared" si="137"/>
        <v>0</v>
      </c>
      <c r="K773" s="37">
        <f t="shared" si="138"/>
        <v>0</v>
      </c>
      <c r="M773" s="37">
        <f t="shared" si="140"/>
        <v>0</v>
      </c>
      <c r="O773" s="4">
        <f t="shared" si="141"/>
        <v>0</v>
      </c>
      <c r="Q773" s="4">
        <f t="shared" si="142"/>
        <v>0</v>
      </c>
      <c r="S773" s="4">
        <f t="shared" si="143"/>
        <v>0</v>
      </c>
      <c r="U773" s="4">
        <f t="shared" si="146"/>
        <v>0</v>
      </c>
      <c r="W773" s="4">
        <f t="shared" si="144"/>
        <v>0</v>
      </c>
      <c r="Y773" s="4">
        <f t="shared" si="145"/>
        <v>0</v>
      </c>
    </row>
    <row r="774" spans="1:25" hidden="1" outlineLevel="1" x14ac:dyDescent="0.35">
      <c r="A774" s="39" t="s">
        <v>1880</v>
      </c>
      <c r="B774" s="39" t="s">
        <v>109</v>
      </c>
      <c r="C774" s="39" t="s">
        <v>1881</v>
      </c>
      <c r="D774" s="39" t="s">
        <v>366</v>
      </c>
      <c r="E774" s="40" t="s">
        <v>367</v>
      </c>
      <c r="F774" s="39" t="s">
        <v>41</v>
      </c>
      <c r="G774" s="39" t="s">
        <v>110</v>
      </c>
      <c r="H774" s="47">
        <v>0</v>
      </c>
      <c r="I774" s="36">
        <f t="shared" si="139"/>
        <v>0</v>
      </c>
      <c r="J774" s="37">
        <f t="shared" si="137"/>
        <v>0</v>
      </c>
      <c r="K774" s="37">
        <f t="shared" si="138"/>
        <v>0</v>
      </c>
      <c r="M774" s="37">
        <f t="shared" si="140"/>
        <v>0</v>
      </c>
      <c r="O774" s="4">
        <f t="shared" si="141"/>
        <v>0</v>
      </c>
      <c r="Q774" s="4">
        <f t="shared" si="142"/>
        <v>0</v>
      </c>
      <c r="S774" s="4">
        <f t="shared" si="143"/>
        <v>0</v>
      </c>
      <c r="U774" s="4">
        <f t="shared" si="146"/>
        <v>0</v>
      </c>
      <c r="W774" s="4">
        <f t="shared" si="144"/>
        <v>0</v>
      </c>
      <c r="Y774" s="4">
        <f t="shared" si="145"/>
        <v>0</v>
      </c>
    </row>
    <row r="775" spans="1:25" hidden="1" outlineLevel="1" x14ac:dyDescent="0.35">
      <c r="A775" s="39" t="s">
        <v>1882</v>
      </c>
      <c r="B775" s="39" t="s">
        <v>109</v>
      </c>
      <c r="C775" s="39" t="s">
        <v>1883</v>
      </c>
      <c r="D775" s="39" t="s">
        <v>932</v>
      </c>
      <c r="E775" s="40" t="s">
        <v>841</v>
      </c>
      <c r="F775" s="39" t="s">
        <v>101</v>
      </c>
      <c r="G775" s="39" t="s">
        <v>110</v>
      </c>
      <c r="H775" s="47">
        <v>0</v>
      </c>
      <c r="I775" s="36">
        <f t="shared" si="139"/>
        <v>0</v>
      </c>
      <c r="J775" s="37">
        <f t="shared" si="137"/>
        <v>0</v>
      </c>
      <c r="K775" s="37">
        <f t="shared" si="138"/>
        <v>0</v>
      </c>
      <c r="M775" s="37">
        <f t="shared" si="140"/>
        <v>0</v>
      </c>
      <c r="O775" s="4">
        <f t="shared" si="141"/>
        <v>0</v>
      </c>
      <c r="Q775" s="4">
        <f t="shared" si="142"/>
        <v>0</v>
      </c>
      <c r="S775" s="4">
        <f t="shared" si="143"/>
        <v>0</v>
      </c>
      <c r="U775" s="4">
        <f t="shared" si="146"/>
        <v>0</v>
      </c>
      <c r="W775" s="4">
        <f t="shared" si="144"/>
        <v>0</v>
      </c>
      <c r="Y775" s="4">
        <f t="shared" si="145"/>
        <v>0</v>
      </c>
    </row>
    <row r="776" spans="1:25" hidden="1" outlineLevel="1" x14ac:dyDescent="0.35">
      <c r="A776" s="39" t="s">
        <v>1884</v>
      </c>
      <c r="B776" s="39" t="s">
        <v>109</v>
      </c>
      <c r="C776" s="39" t="s">
        <v>109</v>
      </c>
      <c r="D776" s="39" t="s">
        <v>1885</v>
      </c>
      <c r="E776" s="40" t="s">
        <v>255</v>
      </c>
      <c r="F776" s="39" t="s">
        <v>41</v>
      </c>
      <c r="G776" s="39" t="s">
        <v>110</v>
      </c>
      <c r="H776" s="47">
        <v>0</v>
      </c>
      <c r="I776" s="36">
        <f t="shared" si="139"/>
        <v>0</v>
      </c>
      <c r="J776" s="37">
        <f t="shared" si="137"/>
        <v>0</v>
      </c>
      <c r="K776" s="37">
        <f t="shared" si="138"/>
        <v>0</v>
      </c>
      <c r="M776" s="37">
        <f t="shared" si="140"/>
        <v>0</v>
      </c>
      <c r="O776" s="4">
        <f t="shared" si="141"/>
        <v>0</v>
      </c>
      <c r="Q776" s="4">
        <f t="shared" si="142"/>
        <v>0</v>
      </c>
      <c r="S776" s="4">
        <f t="shared" si="143"/>
        <v>0</v>
      </c>
      <c r="U776" s="4">
        <f t="shared" si="146"/>
        <v>0</v>
      </c>
      <c r="W776" s="4">
        <f t="shared" si="144"/>
        <v>0</v>
      </c>
      <c r="Y776" s="4">
        <f t="shared" si="145"/>
        <v>0</v>
      </c>
    </row>
    <row r="777" spans="1:25" hidden="1" outlineLevel="1" x14ac:dyDescent="0.35">
      <c r="A777" s="39" t="s">
        <v>1886</v>
      </c>
      <c r="B777" s="39" t="s">
        <v>109</v>
      </c>
      <c r="C777" s="39" t="s">
        <v>1887</v>
      </c>
      <c r="D777" s="39" t="s">
        <v>397</v>
      </c>
      <c r="E777" s="40" t="s">
        <v>91</v>
      </c>
      <c r="F777" s="39" t="s">
        <v>41</v>
      </c>
      <c r="G777" s="39" t="s">
        <v>110</v>
      </c>
      <c r="H777" s="47">
        <v>0</v>
      </c>
      <c r="I777" s="36">
        <f t="shared" si="139"/>
        <v>0</v>
      </c>
      <c r="J777" s="37">
        <f t="shared" si="137"/>
        <v>0</v>
      </c>
      <c r="K777" s="37">
        <f t="shared" si="138"/>
        <v>0</v>
      </c>
      <c r="M777" s="37">
        <f t="shared" si="140"/>
        <v>0</v>
      </c>
      <c r="O777" s="4">
        <f t="shared" si="141"/>
        <v>0</v>
      </c>
      <c r="Q777" s="4">
        <f t="shared" si="142"/>
        <v>0</v>
      </c>
      <c r="S777" s="4">
        <f t="shared" si="143"/>
        <v>0</v>
      </c>
      <c r="U777" s="4">
        <f t="shared" si="146"/>
        <v>0</v>
      </c>
      <c r="W777" s="4">
        <f t="shared" si="144"/>
        <v>0</v>
      </c>
      <c r="Y777" s="4">
        <f t="shared" si="145"/>
        <v>0</v>
      </c>
    </row>
    <row r="778" spans="1:25" hidden="1" outlineLevel="1" x14ac:dyDescent="0.35">
      <c r="A778" s="39" t="s">
        <v>1888</v>
      </c>
      <c r="B778" s="39" t="s">
        <v>109</v>
      </c>
      <c r="C778" s="39" t="s">
        <v>109</v>
      </c>
      <c r="D778" s="39" t="s">
        <v>1889</v>
      </c>
      <c r="E778" s="40" t="s">
        <v>114</v>
      </c>
      <c r="F778" s="39" t="s">
        <v>41</v>
      </c>
      <c r="G778" s="39" t="s">
        <v>110</v>
      </c>
      <c r="H778" s="47">
        <v>0</v>
      </c>
      <c r="I778" s="36">
        <f t="shared" si="139"/>
        <v>0</v>
      </c>
      <c r="J778" s="37">
        <f t="shared" si="137"/>
        <v>0</v>
      </c>
      <c r="K778" s="37">
        <f t="shared" si="138"/>
        <v>0</v>
      </c>
      <c r="M778" s="37">
        <f t="shared" si="140"/>
        <v>0</v>
      </c>
      <c r="O778" s="4">
        <f t="shared" si="141"/>
        <v>0</v>
      </c>
      <c r="Q778" s="4">
        <f t="shared" si="142"/>
        <v>0</v>
      </c>
      <c r="S778" s="4">
        <f t="shared" si="143"/>
        <v>0</v>
      </c>
      <c r="U778" s="4">
        <f t="shared" si="146"/>
        <v>0</v>
      </c>
      <c r="W778" s="4">
        <f t="shared" si="144"/>
        <v>0</v>
      </c>
      <c r="Y778" s="4">
        <f t="shared" si="145"/>
        <v>0</v>
      </c>
    </row>
    <row r="779" spans="1:25" hidden="1" outlineLevel="1" x14ac:dyDescent="0.35">
      <c r="A779" s="39" t="s">
        <v>1890</v>
      </c>
      <c r="B779" s="39" t="s">
        <v>109</v>
      </c>
      <c r="C779" s="39" t="s">
        <v>109</v>
      </c>
      <c r="D779" s="39" t="s">
        <v>1891</v>
      </c>
      <c r="E779" s="40" t="s">
        <v>441</v>
      </c>
      <c r="F779" s="39" t="s">
        <v>101</v>
      </c>
      <c r="G779" s="39" t="s">
        <v>110</v>
      </c>
      <c r="H779" s="47">
        <v>0</v>
      </c>
      <c r="I779" s="36">
        <f t="shared" si="139"/>
        <v>0</v>
      </c>
      <c r="J779" s="37">
        <f t="shared" si="137"/>
        <v>0</v>
      </c>
      <c r="K779" s="37">
        <f t="shared" si="138"/>
        <v>0</v>
      </c>
      <c r="M779" s="37">
        <f t="shared" si="140"/>
        <v>0</v>
      </c>
      <c r="O779" s="4">
        <f t="shared" si="141"/>
        <v>0</v>
      </c>
      <c r="Q779" s="4">
        <f t="shared" si="142"/>
        <v>0</v>
      </c>
      <c r="S779" s="4">
        <f t="shared" si="143"/>
        <v>0</v>
      </c>
      <c r="U779" s="4">
        <f t="shared" si="146"/>
        <v>0</v>
      </c>
      <c r="W779" s="4">
        <f t="shared" si="144"/>
        <v>0</v>
      </c>
      <c r="Y779" s="4">
        <f t="shared" si="145"/>
        <v>0</v>
      </c>
    </row>
    <row r="780" spans="1:25" hidden="1" outlineLevel="1" x14ac:dyDescent="0.35">
      <c r="A780" s="39" t="s">
        <v>1892</v>
      </c>
      <c r="B780" s="39" t="s">
        <v>109</v>
      </c>
      <c r="C780" s="39" t="s">
        <v>109</v>
      </c>
      <c r="D780" s="39" t="s">
        <v>109</v>
      </c>
      <c r="E780" s="40" t="s">
        <v>367</v>
      </c>
      <c r="F780" s="39" t="s">
        <v>41</v>
      </c>
      <c r="G780" s="39" t="s">
        <v>110</v>
      </c>
      <c r="H780" s="47">
        <v>0</v>
      </c>
      <c r="I780" s="36">
        <f t="shared" si="139"/>
        <v>0</v>
      </c>
      <c r="J780" s="37">
        <f t="shared" si="137"/>
        <v>0</v>
      </c>
      <c r="K780" s="37">
        <f t="shared" si="138"/>
        <v>0</v>
      </c>
      <c r="M780" s="37">
        <f t="shared" si="140"/>
        <v>0</v>
      </c>
      <c r="O780" s="4">
        <f t="shared" si="141"/>
        <v>0</v>
      </c>
      <c r="Q780" s="4">
        <f t="shared" si="142"/>
        <v>0</v>
      </c>
      <c r="S780" s="4">
        <f t="shared" si="143"/>
        <v>0</v>
      </c>
      <c r="U780" s="4">
        <f t="shared" si="146"/>
        <v>0</v>
      </c>
      <c r="W780" s="4">
        <f t="shared" si="144"/>
        <v>0</v>
      </c>
      <c r="Y780" s="4">
        <f t="shared" si="145"/>
        <v>0</v>
      </c>
    </row>
    <row r="781" spans="1:25" hidden="1" outlineLevel="1" x14ac:dyDescent="0.35">
      <c r="A781" s="39" t="s">
        <v>1893</v>
      </c>
      <c r="B781" s="39" t="s">
        <v>109</v>
      </c>
      <c r="C781" s="39" t="s">
        <v>109</v>
      </c>
      <c r="D781" s="39" t="s">
        <v>1894</v>
      </c>
      <c r="E781" s="40" t="s">
        <v>165</v>
      </c>
      <c r="F781" s="39" t="s">
        <v>41</v>
      </c>
      <c r="G781" s="39" t="s">
        <v>110</v>
      </c>
      <c r="H781" s="47">
        <v>0</v>
      </c>
      <c r="I781" s="36">
        <f t="shared" si="139"/>
        <v>0</v>
      </c>
      <c r="J781" s="37">
        <f t="shared" si="137"/>
        <v>0</v>
      </c>
      <c r="K781" s="37">
        <f t="shared" si="138"/>
        <v>0</v>
      </c>
      <c r="M781" s="37">
        <f t="shared" si="140"/>
        <v>0</v>
      </c>
      <c r="O781" s="4">
        <f t="shared" si="141"/>
        <v>0</v>
      </c>
      <c r="Q781" s="4">
        <f t="shared" si="142"/>
        <v>0</v>
      </c>
      <c r="S781" s="4">
        <f t="shared" si="143"/>
        <v>0</v>
      </c>
      <c r="U781" s="4">
        <f t="shared" si="146"/>
        <v>0</v>
      </c>
      <c r="W781" s="4">
        <f t="shared" si="144"/>
        <v>0</v>
      </c>
      <c r="Y781" s="4">
        <f t="shared" si="145"/>
        <v>0</v>
      </c>
    </row>
    <row r="782" spans="1:25" hidden="1" outlineLevel="1" x14ac:dyDescent="0.35">
      <c r="A782" s="39" t="s">
        <v>1895</v>
      </c>
      <c r="B782" s="39" t="s">
        <v>109</v>
      </c>
      <c r="C782" s="39" t="s">
        <v>1896</v>
      </c>
      <c r="D782" s="39" t="s">
        <v>1897</v>
      </c>
      <c r="E782" s="40" t="s">
        <v>1018</v>
      </c>
      <c r="F782" s="39" t="s">
        <v>41</v>
      </c>
      <c r="G782" s="39" t="s">
        <v>110</v>
      </c>
      <c r="H782" s="47">
        <v>0</v>
      </c>
      <c r="I782" s="36">
        <f t="shared" si="139"/>
        <v>0</v>
      </c>
      <c r="J782" s="37">
        <f t="shared" si="137"/>
        <v>0</v>
      </c>
      <c r="K782" s="37">
        <f t="shared" si="138"/>
        <v>0</v>
      </c>
      <c r="M782" s="37">
        <f t="shared" si="140"/>
        <v>0</v>
      </c>
      <c r="O782" s="4">
        <f t="shared" si="141"/>
        <v>0</v>
      </c>
      <c r="Q782" s="4">
        <f t="shared" si="142"/>
        <v>0</v>
      </c>
      <c r="S782" s="4">
        <f t="shared" si="143"/>
        <v>0</v>
      </c>
      <c r="U782" s="4">
        <f t="shared" si="146"/>
        <v>0</v>
      </c>
      <c r="W782" s="4">
        <f t="shared" si="144"/>
        <v>0</v>
      </c>
      <c r="Y782" s="4">
        <f t="shared" si="145"/>
        <v>0</v>
      </c>
    </row>
    <row r="783" spans="1:25" hidden="1" outlineLevel="1" x14ac:dyDescent="0.35">
      <c r="A783" s="39" t="s">
        <v>1898</v>
      </c>
      <c r="B783" s="39" t="s">
        <v>109</v>
      </c>
      <c r="C783" s="39" t="s">
        <v>109</v>
      </c>
      <c r="D783" s="39" t="s">
        <v>1899</v>
      </c>
      <c r="E783" s="40" t="s">
        <v>552</v>
      </c>
      <c r="F783" s="39" t="s">
        <v>41</v>
      </c>
      <c r="G783" s="39" t="s">
        <v>110</v>
      </c>
      <c r="H783" s="47">
        <v>0</v>
      </c>
      <c r="I783" s="36">
        <f t="shared" si="139"/>
        <v>0</v>
      </c>
      <c r="J783" s="37">
        <f t="shared" si="137"/>
        <v>0</v>
      </c>
      <c r="K783" s="37">
        <f t="shared" si="138"/>
        <v>0</v>
      </c>
      <c r="M783" s="37">
        <f t="shared" si="140"/>
        <v>0</v>
      </c>
      <c r="O783" s="4">
        <f t="shared" si="141"/>
        <v>0</v>
      </c>
      <c r="Q783" s="4">
        <f t="shared" si="142"/>
        <v>0</v>
      </c>
      <c r="S783" s="4">
        <f t="shared" si="143"/>
        <v>0</v>
      </c>
      <c r="U783" s="4">
        <f t="shared" si="146"/>
        <v>0</v>
      </c>
      <c r="W783" s="4">
        <f t="shared" si="144"/>
        <v>0</v>
      </c>
      <c r="Y783" s="4">
        <f t="shared" si="145"/>
        <v>0</v>
      </c>
    </row>
    <row r="784" spans="1:25" hidden="1" outlineLevel="1" x14ac:dyDescent="0.35">
      <c r="A784" s="39" t="s">
        <v>1900</v>
      </c>
      <c r="B784" s="39" t="s">
        <v>109</v>
      </c>
      <c r="C784" s="39" t="s">
        <v>109</v>
      </c>
      <c r="D784" s="39" t="s">
        <v>1901</v>
      </c>
      <c r="E784" s="40" t="s">
        <v>61</v>
      </c>
      <c r="F784" s="39" t="s">
        <v>41</v>
      </c>
      <c r="G784" s="39" t="s">
        <v>110</v>
      </c>
      <c r="H784" s="47">
        <v>0</v>
      </c>
      <c r="I784" s="36">
        <f t="shared" si="139"/>
        <v>0</v>
      </c>
      <c r="J784" s="37">
        <f t="shared" si="137"/>
        <v>0</v>
      </c>
      <c r="K784" s="37">
        <f t="shared" si="138"/>
        <v>0</v>
      </c>
      <c r="M784" s="37">
        <f t="shared" si="140"/>
        <v>0</v>
      </c>
      <c r="O784" s="4">
        <f t="shared" si="141"/>
        <v>0</v>
      </c>
      <c r="Q784" s="4">
        <f t="shared" si="142"/>
        <v>0</v>
      </c>
      <c r="S784" s="4">
        <f t="shared" si="143"/>
        <v>0</v>
      </c>
      <c r="U784" s="4">
        <f t="shared" si="146"/>
        <v>0</v>
      </c>
      <c r="W784" s="4">
        <f t="shared" si="144"/>
        <v>0</v>
      </c>
      <c r="Y784" s="4">
        <f t="shared" si="145"/>
        <v>0</v>
      </c>
    </row>
    <row r="785" spans="1:25" hidden="1" outlineLevel="1" x14ac:dyDescent="0.35">
      <c r="A785" s="39" t="s">
        <v>1902</v>
      </c>
      <c r="B785" s="39" t="s">
        <v>109</v>
      </c>
      <c r="C785" s="39" t="s">
        <v>1903</v>
      </c>
      <c r="D785" s="39" t="s">
        <v>1904</v>
      </c>
      <c r="E785" s="40" t="s">
        <v>114</v>
      </c>
      <c r="F785" s="39" t="s">
        <v>41</v>
      </c>
      <c r="G785" s="39" t="s">
        <v>110</v>
      </c>
      <c r="H785" s="47">
        <v>0</v>
      </c>
      <c r="I785" s="36">
        <f t="shared" si="139"/>
        <v>0</v>
      </c>
      <c r="J785" s="37">
        <f t="shared" si="137"/>
        <v>0</v>
      </c>
      <c r="K785" s="37">
        <f t="shared" si="138"/>
        <v>0</v>
      </c>
      <c r="M785" s="37">
        <f t="shared" si="140"/>
        <v>0</v>
      </c>
      <c r="O785" s="4">
        <f t="shared" si="141"/>
        <v>0</v>
      </c>
      <c r="Q785" s="4">
        <f t="shared" si="142"/>
        <v>0</v>
      </c>
      <c r="S785" s="4">
        <f t="shared" si="143"/>
        <v>0</v>
      </c>
      <c r="U785" s="4">
        <f t="shared" si="146"/>
        <v>0</v>
      </c>
      <c r="W785" s="4">
        <f t="shared" si="144"/>
        <v>0</v>
      </c>
      <c r="Y785" s="4">
        <f t="shared" si="145"/>
        <v>0</v>
      </c>
    </row>
    <row r="786" spans="1:25" hidden="1" outlineLevel="1" x14ac:dyDescent="0.35">
      <c r="A786" s="39" t="s">
        <v>1905</v>
      </c>
      <c r="B786" s="39" t="s">
        <v>109</v>
      </c>
      <c r="C786" s="39" t="s">
        <v>109</v>
      </c>
      <c r="D786" s="39" t="s">
        <v>1906</v>
      </c>
      <c r="E786" s="40" t="s">
        <v>95</v>
      </c>
      <c r="F786" s="39" t="s">
        <v>41</v>
      </c>
      <c r="G786" s="39" t="s">
        <v>1907</v>
      </c>
      <c r="H786" s="47">
        <v>0</v>
      </c>
      <c r="I786" s="36">
        <f t="shared" si="139"/>
        <v>0</v>
      </c>
      <c r="J786" s="37">
        <f t="shared" si="137"/>
        <v>0</v>
      </c>
      <c r="K786" s="37">
        <f t="shared" si="138"/>
        <v>0</v>
      </c>
      <c r="M786" s="37">
        <f t="shared" si="140"/>
        <v>0</v>
      </c>
      <c r="O786" s="4">
        <f t="shared" si="141"/>
        <v>0</v>
      </c>
      <c r="Q786" s="4">
        <f t="shared" si="142"/>
        <v>0</v>
      </c>
      <c r="S786" s="4">
        <f t="shared" si="143"/>
        <v>0</v>
      </c>
      <c r="U786" s="4">
        <f t="shared" si="146"/>
        <v>0</v>
      </c>
      <c r="W786" s="4">
        <f t="shared" si="144"/>
        <v>0</v>
      </c>
      <c r="Y786" s="4">
        <f t="shared" si="145"/>
        <v>0</v>
      </c>
    </row>
    <row r="787" spans="1:25" hidden="1" outlineLevel="1" x14ac:dyDescent="0.35">
      <c r="A787" s="39" t="s">
        <v>1908</v>
      </c>
      <c r="B787" s="39" t="s">
        <v>109</v>
      </c>
      <c r="C787" s="39" t="s">
        <v>109</v>
      </c>
      <c r="D787" s="39" t="s">
        <v>109</v>
      </c>
      <c r="E787" s="40" t="s">
        <v>109</v>
      </c>
      <c r="F787" s="39" t="s">
        <v>41</v>
      </c>
      <c r="G787" s="39" t="s">
        <v>110</v>
      </c>
      <c r="H787" s="47">
        <v>0</v>
      </c>
      <c r="I787" s="36">
        <f t="shared" si="139"/>
        <v>0</v>
      </c>
      <c r="J787" s="37">
        <f t="shared" si="137"/>
        <v>0</v>
      </c>
      <c r="K787" s="37">
        <f t="shared" si="138"/>
        <v>0</v>
      </c>
      <c r="M787" s="37">
        <f t="shared" si="140"/>
        <v>0</v>
      </c>
      <c r="O787" s="4">
        <f t="shared" si="141"/>
        <v>0</v>
      </c>
      <c r="Q787" s="4">
        <f t="shared" si="142"/>
        <v>0</v>
      </c>
      <c r="S787" s="4">
        <f t="shared" si="143"/>
        <v>0</v>
      </c>
      <c r="U787" s="4">
        <f t="shared" si="146"/>
        <v>0</v>
      </c>
      <c r="W787" s="4">
        <f t="shared" si="144"/>
        <v>0</v>
      </c>
      <c r="Y787" s="4">
        <f t="shared" si="145"/>
        <v>0</v>
      </c>
    </row>
    <row r="788" spans="1:25" hidden="1" outlineLevel="1" x14ac:dyDescent="0.35">
      <c r="A788" s="39" t="s">
        <v>1909</v>
      </c>
      <c r="B788" s="39" t="s">
        <v>109</v>
      </c>
      <c r="C788" s="39" t="s">
        <v>109</v>
      </c>
      <c r="D788" s="39" t="s">
        <v>1910</v>
      </c>
      <c r="E788" s="40" t="s">
        <v>191</v>
      </c>
      <c r="F788" s="39" t="s">
        <v>41</v>
      </c>
      <c r="G788" s="39" t="s">
        <v>110</v>
      </c>
      <c r="H788" s="47">
        <v>0</v>
      </c>
      <c r="I788" s="36">
        <f t="shared" si="139"/>
        <v>0</v>
      </c>
      <c r="J788" s="37">
        <f t="shared" si="137"/>
        <v>0</v>
      </c>
      <c r="K788" s="37">
        <f t="shared" si="138"/>
        <v>0</v>
      </c>
      <c r="M788" s="37">
        <f t="shared" si="140"/>
        <v>0</v>
      </c>
      <c r="O788" s="4">
        <f t="shared" si="141"/>
        <v>0</v>
      </c>
      <c r="Q788" s="4">
        <f t="shared" si="142"/>
        <v>0</v>
      </c>
      <c r="S788" s="4">
        <f t="shared" si="143"/>
        <v>0</v>
      </c>
      <c r="U788" s="4">
        <f t="shared" si="146"/>
        <v>0</v>
      </c>
      <c r="W788" s="4">
        <f t="shared" si="144"/>
        <v>0</v>
      </c>
      <c r="Y788" s="4">
        <f t="shared" si="145"/>
        <v>0</v>
      </c>
    </row>
    <row r="789" spans="1:25" hidden="1" outlineLevel="1" x14ac:dyDescent="0.35">
      <c r="A789" s="39" t="s">
        <v>1911</v>
      </c>
      <c r="B789" s="39" t="s">
        <v>109</v>
      </c>
      <c r="C789" s="39" t="s">
        <v>109</v>
      </c>
      <c r="D789" s="39" t="s">
        <v>1912</v>
      </c>
      <c r="E789" s="40" t="s">
        <v>784</v>
      </c>
      <c r="F789" s="39" t="s">
        <v>41</v>
      </c>
      <c r="G789" s="39" t="s">
        <v>110</v>
      </c>
      <c r="H789" s="47">
        <v>0</v>
      </c>
      <c r="I789" s="36">
        <f t="shared" si="139"/>
        <v>0</v>
      </c>
      <c r="J789" s="37">
        <f t="shared" si="137"/>
        <v>0</v>
      </c>
      <c r="K789" s="37">
        <f t="shared" si="138"/>
        <v>0</v>
      </c>
      <c r="M789" s="37">
        <f t="shared" si="140"/>
        <v>0</v>
      </c>
      <c r="O789" s="4">
        <f t="shared" si="141"/>
        <v>0</v>
      </c>
      <c r="Q789" s="4">
        <f t="shared" si="142"/>
        <v>0</v>
      </c>
      <c r="S789" s="4">
        <f t="shared" si="143"/>
        <v>0</v>
      </c>
      <c r="U789" s="4">
        <f t="shared" si="146"/>
        <v>0</v>
      </c>
      <c r="W789" s="4">
        <f t="shared" si="144"/>
        <v>0</v>
      </c>
      <c r="Y789" s="4">
        <f t="shared" si="145"/>
        <v>0</v>
      </c>
    </row>
    <row r="790" spans="1:25" hidden="1" outlineLevel="1" x14ac:dyDescent="0.35">
      <c r="A790" s="39" t="s">
        <v>1913</v>
      </c>
      <c r="B790" s="39" t="s">
        <v>109</v>
      </c>
      <c r="C790" s="39" t="s">
        <v>109</v>
      </c>
      <c r="D790" s="39" t="s">
        <v>1914</v>
      </c>
      <c r="E790" s="40" t="s">
        <v>226</v>
      </c>
      <c r="F790" s="39" t="s">
        <v>41</v>
      </c>
      <c r="G790" s="39" t="s">
        <v>110</v>
      </c>
      <c r="H790" s="47">
        <v>0</v>
      </c>
      <c r="I790" s="36">
        <f t="shared" si="139"/>
        <v>0</v>
      </c>
      <c r="J790" s="37">
        <f t="shared" si="137"/>
        <v>0</v>
      </c>
      <c r="K790" s="37">
        <f t="shared" si="138"/>
        <v>0</v>
      </c>
      <c r="M790" s="37">
        <f t="shared" si="140"/>
        <v>0</v>
      </c>
      <c r="O790" s="4">
        <f t="shared" si="141"/>
        <v>0</v>
      </c>
      <c r="Q790" s="4">
        <f t="shared" si="142"/>
        <v>0</v>
      </c>
      <c r="S790" s="4">
        <f t="shared" si="143"/>
        <v>0</v>
      </c>
      <c r="U790" s="4">
        <f t="shared" si="146"/>
        <v>0</v>
      </c>
      <c r="W790" s="4">
        <f t="shared" si="144"/>
        <v>0</v>
      </c>
      <c r="Y790" s="4">
        <f t="shared" si="145"/>
        <v>0</v>
      </c>
    </row>
    <row r="791" spans="1:25" hidden="1" outlineLevel="1" x14ac:dyDescent="0.35">
      <c r="A791" s="39" t="s">
        <v>1915</v>
      </c>
      <c r="B791" s="39" t="s">
        <v>109</v>
      </c>
      <c r="C791" s="39" t="s">
        <v>109</v>
      </c>
      <c r="D791" s="39" t="s">
        <v>1916</v>
      </c>
      <c r="E791" s="40" t="s">
        <v>91</v>
      </c>
      <c r="F791" s="39" t="s">
        <v>41</v>
      </c>
      <c r="G791" s="39" t="s">
        <v>1917</v>
      </c>
      <c r="H791" s="47">
        <v>0</v>
      </c>
      <c r="I791" s="36">
        <f t="shared" si="139"/>
        <v>0</v>
      </c>
      <c r="J791" s="37">
        <f t="shared" si="137"/>
        <v>0</v>
      </c>
      <c r="K791" s="37">
        <f t="shared" si="138"/>
        <v>0</v>
      </c>
      <c r="M791" s="37">
        <f t="shared" si="140"/>
        <v>0</v>
      </c>
      <c r="O791" s="4">
        <f t="shared" si="141"/>
        <v>0</v>
      </c>
      <c r="Q791" s="4">
        <f t="shared" si="142"/>
        <v>0</v>
      </c>
      <c r="S791" s="4">
        <f t="shared" si="143"/>
        <v>0</v>
      </c>
      <c r="U791" s="4">
        <f t="shared" si="146"/>
        <v>0</v>
      </c>
      <c r="W791" s="4">
        <f t="shared" si="144"/>
        <v>0</v>
      </c>
      <c r="Y791" s="4">
        <f t="shared" si="145"/>
        <v>0</v>
      </c>
    </row>
    <row r="792" spans="1:25" hidden="1" outlineLevel="1" x14ac:dyDescent="0.35">
      <c r="A792" s="39" t="s">
        <v>1918</v>
      </c>
      <c r="B792" s="39" t="s">
        <v>109</v>
      </c>
      <c r="C792" s="39" t="s">
        <v>109</v>
      </c>
      <c r="D792" s="39" t="s">
        <v>109</v>
      </c>
      <c r="E792" s="40" t="s">
        <v>109</v>
      </c>
      <c r="F792" s="39" t="s">
        <v>41</v>
      </c>
      <c r="G792" s="39" t="s">
        <v>110</v>
      </c>
      <c r="H792" s="47">
        <v>0</v>
      </c>
      <c r="I792" s="36">
        <f t="shared" si="139"/>
        <v>0</v>
      </c>
      <c r="J792" s="37">
        <f t="shared" si="137"/>
        <v>0</v>
      </c>
      <c r="K792" s="37">
        <f t="shared" si="138"/>
        <v>0</v>
      </c>
      <c r="M792" s="37">
        <f t="shared" si="140"/>
        <v>0</v>
      </c>
      <c r="O792" s="4">
        <f t="shared" si="141"/>
        <v>0</v>
      </c>
      <c r="Q792" s="4">
        <f t="shared" si="142"/>
        <v>0</v>
      </c>
      <c r="S792" s="4">
        <f t="shared" si="143"/>
        <v>0</v>
      </c>
      <c r="U792" s="4">
        <f t="shared" si="146"/>
        <v>0</v>
      </c>
      <c r="W792" s="4">
        <f t="shared" si="144"/>
        <v>0</v>
      </c>
      <c r="Y792" s="4">
        <f t="shared" si="145"/>
        <v>0</v>
      </c>
    </row>
    <row r="793" spans="1:25" hidden="1" outlineLevel="1" x14ac:dyDescent="0.35">
      <c r="A793" s="39" t="s">
        <v>1919</v>
      </c>
      <c r="B793" s="39" t="s">
        <v>109</v>
      </c>
      <c r="C793" s="39" t="s">
        <v>109</v>
      </c>
      <c r="D793" s="39" t="s">
        <v>1920</v>
      </c>
      <c r="E793" s="40" t="s">
        <v>51</v>
      </c>
      <c r="F793" s="39" t="s">
        <v>41</v>
      </c>
      <c r="G793" s="39" t="s">
        <v>110</v>
      </c>
      <c r="H793" s="47">
        <v>0</v>
      </c>
      <c r="I793" s="36">
        <f t="shared" si="139"/>
        <v>0</v>
      </c>
      <c r="J793" s="37">
        <f t="shared" si="137"/>
        <v>0</v>
      </c>
      <c r="K793" s="37">
        <f t="shared" si="138"/>
        <v>0</v>
      </c>
      <c r="M793" s="37">
        <f t="shared" si="140"/>
        <v>0</v>
      </c>
      <c r="O793" s="4">
        <f t="shared" si="141"/>
        <v>0</v>
      </c>
      <c r="Q793" s="4">
        <f t="shared" si="142"/>
        <v>0</v>
      </c>
      <c r="S793" s="4">
        <f t="shared" si="143"/>
        <v>0</v>
      </c>
      <c r="U793" s="4">
        <f t="shared" si="146"/>
        <v>0</v>
      </c>
      <c r="W793" s="4">
        <f t="shared" si="144"/>
        <v>0</v>
      </c>
      <c r="Y793" s="4">
        <f t="shared" si="145"/>
        <v>0</v>
      </c>
    </row>
    <row r="794" spans="1:25" hidden="1" outlineLevel="1" x14ac:dyDescent="0.35">
      <c r="A794" s="39" t="s">
        <v>1921</v>
      </c>
      <c r="B794" s="39" t="s">
        <v>109</v>
      </c>
      <c r="C794" s="39" t="s">
        <v>109</v>
      </c>
      <c r="D794" s="39" t="s">
        <v>1922</v>
      </c>
      <c r="E794" s="40" t="s">
        <v>100</v>
      </c>
      <c r="F794" s="39" t="s">
        <v>101</v>
      </c>
      <c r="G794" s="39" t="s">
        <v>110</v>
      </c>
      <c r="H794" s="47">
        <v>0</v>
      </c>
      <c r="I794" s="36">
        <f t="shared" si="139"/>
        <v>0</v>
      </c>
      <c r="J794" s="37">
        <f t="shared" si="137"/>
        <v>0</v>
      </c>
      <c r="K794" s="37">
        <f t="shared" si="138"/>
        <v>0</v>
      </c>
      <c r="M794" s="37">
        <f t="shared" si="140"/>
        <v>0</v>
      </c>
      <c r="O794" s="4">
        <f t="shared" si="141"/>
        <v>0</v>
      </c>
      <c r="Q794" s="4">
        <f t="shared" si="142"/>
        <v>0</v>
      </c>
      <c r="S794" s="4">
        <f t="shared" si="143"/>
        <v>0</v>
      </c>
      <c r="U794" s="4">
        <f t="shared" si="146"/>
        <v>0</v>
      </c>
      <c r="W794" s="4">
        <f t="shared" si="144"/>
        <v>0</v>
      </c>
      <c r="Y794" s="4">
        <f t="shared" si="145"/>
        <v>0</v>
      </c>
    </row>
    <row r="795" spans="1:25" hidden="1" outlineLevel="1" x14ac:dyDescent="0.35">
      <c r="A795" s="39" t="s">
        <v>1923</v>
      </c>
      <c r="B795" s="39" t="s">
        <v>109</v>
      </c>
      <c r="C795" s="39" t="s">
        <v>109</v>
      </c>
      <c r="D795" s="39" t="s">
        <v>621</v>
      </c>
      <c r="E795" s="40" t="s">
        <v>393</v>
      </c>
      <c r="F795" s="39" t="s">
        <v>41</v>
      </c>
      <c r="G795" s="39" t="s">
        <v>110</v>
      </c>
      <c r="H795" s="47">
        <v>0</v>
      </c>
      <c r="I795" s="36">
        <f t="shared" si="139"/>
        <v>0</v>
      </c>
      <c r="J795" s="37">
        <f t="shared" si="137"/>
        <v>0</v>
      </c>
      <c r="K795" s="37">
        <f t="shared" si="138"/>
        <v>0</v>
      </c>
      <c r="M795" s="37">
        <f t="shared" si="140"/>
        <v>0</v>
      </c>
      <c r="O795" s="4">
        <f t="shared" si="141"/>
        <v>0</v>
      </c>
      <c r="Q795" s="4">
        <f t="shared" si="142"/>
        <v>0</v>
      </c>
      <c r="S795" s="4">
        <f t="shared" si="143"/>
        <v>0</v>
      </c>
      <c r="U795" s="4">
        <f t="shared" si="146"/>
        <v>0</v>
      </c>
      <c r="W795" s="4">
        <f t="shared" si="144"/>
        <v>0</v>
      </c>
      <c r="Y795" s="4">
        <f t="shared" si="145"/>
        <v>0</v>
      </c>
    </row>
    <row r="796" spans="1:25" hidden="1" outlineLevel="1" x14ac:dyDescent="0.35">
      <c r="A796" s="39" t="s">
        <v>1924</v>
      </c>
      <c r="B796" s="39" t="s">
        <v>109</v>
      </c>
      <c r="C796" s="39" t="s">
        <v>109</v>
      </c>
      <c r="D796" s="39" t="s">
        <v>1426</v>
      </c>
      <c r="E796" s="40" t="s">
        <v>441</v>
      </c>
      <c r="F796" s="39" t="s">
        <v>101</v>
      </c>
      <c r="G796" s="39" t="s">
        <v>110</v>
      </c>
      <c r="H796" s="47">
        <v>0</v>
      </c>
      <c r="I796" s="36">
        <f t="shared" si="139"/>
        <v>0</v>
      </c>
      <c r="J796" s="37">
        <f t="shared" si="137"/>
        <v>0</v>
      </c>
      <c r="K796" s="37">
        <f t="shared" si="138"/>
        <v>0</v>
      </c>
      <c r="M796" s="37">
        <f t="shared" si="140"/>
        <v>0</v>
      </c>
      <c r="O796" s="4">
        <f t="shared" si="141"/>
        <v>0</v>
      </c>
      <c r="Q796" s="4">
        <f t="shared" si="142"/>
        <v>0</v>
      </c>
      <c r="S796" s="4">
        <f t="shared" si="143"/>
        <v>0</v>
      </c>
      <c r="U796" s="4">
        <f t="shared" si="146"/>
        <v>0</v>
      </c>
      <c r="W796" s="4">
        <f t="shared" si="144"/>
        <v>0</v>
      </c>
      <c r="Y796" s="4">
        <f t="shared" si="145"/>
        <v>0</v>
      </c>
    </row>
    <row r="797" spans="1:25" hidden="1" outlineLevel="1" x14ac:dyDescent="0.35">
      <c r="A797" s="39" t="s">
        <v>1925</v>
      </c>
      <c r="B797" s="39" t="s">
        <v>109</v>
      </c>
      <c r="C797" s="39" t="s">
        <v>109</v>
      </c>
      <c r="D797" s="39" t="s">
        <v>1926</v>
      </c>
      <c r="E797" s="40" t="s">
        <v>200</v>
      </c>
      <c r="F797" s="39" t="s">
        <v>41</v>
      </c>
      <c r="G797" s="39" t="s">
        <v>110</v>
      </c>
      <c r="H797" s="47">
        <v>0</v>
      </c>
      <c r="I797" s="36">
        <f t="shared" si="139"/>
        <v>0</v>
      </c>
      <c r="J797" s="37">
        <f t="shared" si="137"/>
        <v>0</v>
      </c>
      <c r="K797" s="37">
        <f t="shared" si="138"/>
        <v>0</v>
      </c>
      <c r="M797" s="37">
        <f t="shared" si="140"/>
        <v>0</v>
      </c>
      <c r="O797" s="4">
        <f t="shared" si="141"/>
        <v>0</v>
      </c>
      <c r="Q797" s="4">
        <f t="shared" si="142"/>
        <v>0</v>
      </c>
      <c r="S797" s="4">
        <f t="shared" si="143"/>
        <v>0</v>
      </c>
      <c r="U797" s="4">
        <f t="shared" si="146"/>
        <v>0</v>
      </c>
      <c r="W797" s="4">
        <f t="shared" si="144"/>
        <v>0</v>
      </c>
      <c r="Y797" s="4">
        <f t="shared" si="145"/>
        <v>0</v>
      </c>
    </row>
    <row r="798" spans="1:25" hidden="1" outlineLevel="1" x14ac:dyDescent="0.35">
      <c r="A798" s="39" t="s">
        <v>1927</v>
      </c>
      <c r="B798" s="39" t="s">
        <v>109</v>
      </c>
      <c r="C798" s="39" t="s">
        <v>1928</v>
      </c>
      <c r="D798" s="39" t="s">
        <v>109</v>
      </c>
      <c r="E798" s="40" t="s">
        <v>109</v>
      </c>
      <c r="F798" s="39" t="s">
        <v>41</v>
      </c>
      <c r="G798" s="39" t="s">
        <v>110</v>
      </c>
      <c r="H798" s="47">
        <v>0</v>
      </c>
      <c r="I798" s="36">
        <f t="shared" si="139"/>
        <v>0</v>
      </c>
      <c r="J798" s="37">
        <f t="shared" si="137"/>
        <v>0</v>
      </c>
      <c r="K798" s="37">
        <f t="shared" si="138"/>
        <v>0</v>
      </c>
      <c r="M798" s="37">
        <f t="shared" si="140"/>
        <v>0</v>
      </c>
      <c r="O798" s="4">
        <f t="shared" si="141"/>
        <v>0</v>
      </c>
      <c r="Q798" s="4">
        <f t="shared" si="142"/>
        <v>0</v>
      </c>
      <c r="S798" s="4">
        <f t="shared" si="143"/>
        <v>0</v>
      </c>
      <c r="U798" s="4">
        <f t="shared" si="146"/>
        <v>0</v>
      </c>
      <c r="W798" s="4">
        <f t="shared" si="144"/>
        <v>0</v>
      </c>
      <c r="Y798" s="4">
        <f t="shared" si="145"/>
        <v>0</v>
      </c>
    </row>
    <row r="799" spans="1:25" hidden="1" outlineLevel="1" x14ac:dyDescent="0.35">
      <c r="A799" s="39" t="s">
        <v>1929</v>
      </c>
      <c r="B799" s="39" t="s">
        <v>109</v>
      </c>
      <c r="C799" s="39" t="s">
        <v>109</v>
      </c>
      <c r="D799" s="39" t="s">
        <v>593</v>
      </c>
      <c r="E799" s="40" t="s">
        <v>70</v>
      </c>
      <c r="F799" s="39" t="s">
        <v>41</v>
      </c>
      <c r="G799" s="39" t="s">
        <v>110</v>
      </c>
      <c r="H799" s="47">
        <v>0</v>
      </c>
      <c r="I799" s="36">
        <f t="shared" si="139"/>
        <v>0</v>
      </c>
      <c r="J799" s="37">
        <f t="shared" si="137"/>
        <v>0</v>
      </c>
      <c r="K799" s="37">
        <f t="shared" si="138"/>
        <v>0</v>
      </c>
      <c r="M799" s="37">
        <f t="shared" si="140"/>
        <v>0</v>
      </c>
      <c r="O799" s="4">
        <f t="shared" si="141"/>
        <v>0</v>
      </c>
      <c r="Q799" s="4">
        <f t="shared" si="142"/>
        <v>0</v>
      </c>
      <c r="S799" s="4">
        <f t="shared" si="143"/>
        <v>0</v>
      </c>
      <c r="U799" s="4">
        <f t="shared" si="146"/>
        <v>0</v>
      </c>
      <c r="W799" s="4">
        <f t="shared" si="144"/>
        <v>0</v>
      </c>
      <c r="Y799" s="4">
        <f t="shared" si="145"/>
        <v>0</v>
      </c>
    </row>
    <row r="800" spans="1:25" hidden="1" outlineLevel="1" x14ac:dyDescent="0.35">
      <c r="A800" s="39" t="s">
        <v>1930</v>
      </c>
      <c r="B800" s="39" t="s">
        <v>109</v>
      </c>
      <c r="C800" s="39" t="s">
        <v>109</v>
      </c>
      <c r="D800" s="39" t="s">
        <v>1431</v>
      </c>
      <c r="E800" s="40" t="s">
        <v>114</v>
      </c>
      <c r="F800" s="39" t="s">
        <v>41</v>
      </c>
      <c r="G800" s="39" t="s">
        <v>110</v>
      </c>
      <c r="H800" s="47">
        <v>0</v>
      </c>
      <c r="I800" s="36">
        <f t="shared" si="139"/>
        <v>0</v>
      </c>
      <c r="J800" s="37">
        <f t="shared" si="137"/>
        <v>0</v>
      </c>
      <c r="K800" s="37">
        <f t="shared" si="138"/>
        <v>0</v>
      </c>
      <c r="M800" s="37">
        <f t="shared" si="140"/>
        <v>0</v>
      </c>
      <c r="O800" s="4">
        <f t="shared" si="141"/>
        <v>0</v>
      </c>
      <c r="Q800" s="4">
        <f t="shared" si="142"/>
        <v>0</v>
      </c>
      <c r="S800" s="4">
        <f t="shared" si="143"/>
        <v>0</v>
      </c>
      <c r="U800" s="4">
        <f t="shared" si="146"/>
        <v>0</v>
      </c>
      <c r="W800" s="4">
        <f t="shared" si="144"/>
        <v>0</v>
      </c>
      <c r="Y800" s="4">
        <f t="shared" si="145"/>
        <v>0</v>
      </c>
    </row>
    <row r="801" spans="1:25" hidden="1" outlineLevel="1" x14ac:dyDescent="0.35">
      <c r="A801" s="39" t="s">
        <v>1931</v>
      </c>
      <c r="B801" s="39" t="s">
        <v>109</v>
      </c>
      <c r="C801" s="39" t="s">
        <v>109</v>
      </c>
      <c r="D801" s="39" t="s">
        <v>109</v>
      </c>
      <c r="E801" s="40" t="s">
        <v>109</v>
      </c>
      <c r="F801" s="39" t="s">
        <v>41</v>
      </c>
      <c r="G801" s="39" t="s">
        <v>110</v>
      </c>
      <c r="H801" s="47">
        <v>0</v>
      </c>
      <c r="I801" s="36">
        <f t="shared" si="139"/>
        <v>0</v>
      </c>
      <c r="J801" s="37">
        <f t="shared" si="137"/>
        <v>0</v>
      </c>
      <c r="K801" s="37">
        <f t="shared" si="138"/>
        <v>0</v>
      </c>
      <c r="M801" s="37">
        <f t="shared" si="140"/>
        <v>0</v>
      </c>
      <c r="O801" s="4">
        <f t="shared" si="141"/>
        <v>0</v>
      </c>
      <c r="Q801" s="4">
        <f t="shared" si="142"/>
        <v>0</v>
      </c>
      <c r="S801" s="4">
        <f t="shared" si="143"/>
        <v>0</v>
      </c>
      <c r="U801" s="4">
        <f t="shared" si="146"/>
        <v>0</v>
      </c>
      <c r="W801" s="4">
        <f t="shared" si="144"/>
        <v>0</v>
      </c>
      <c r="Y801" s="4">
        <f t="shared" si="145"/>
        <v>0</v>
      </c>
    </row>
    <row r="802" spans="1:25" hidden="1" outlineLevel="1" x14ac:dyDescent="0.35">
      <c r="A802" s="39" t="s">
        <v>1932</v>
      </c>
      <c r="B802" s="39" t="s">
        <v>109</v>
      </c>
      <c r="C802" s="39" t="s">
        <v>109</v>
      </c>
      <c r="D802" s="39" t="s">
        <v>1933</v>
      </c>
      <c r="E802" s="40" t="s">
        <v>784</v>
      </c>
      <c r="F802" s="39" t="s">
        <v>41</v>
      </c>
      <c r="G802" s="39" t="s">
        <v>110</v>
      </c>
      <c r="H802" s="47">
        <v>0</v>
      </c>
      <c r="I802" s="36">
        <f t="shared" si="139"/>
        <v>0</v>
      </c>
      <c r="J802" s="37">
        <f t="shared" si="137"/>
        <v>0</v>
      </c>
      <c r="K802" s="37">
        <f t="shared" si="138"/>
        <v>0</v>
      </c>
      <c r="M802" s="37">
        <f t="shared" si="140"/>
        <v>0</v>
      </c>
      <c r="O802" s="4">
        <f t="shared" si="141"/>
        <v>0</v>
      </c>
      <c r="Q802" s="4">
        <f t="shared" si="142"/>
        <v>0</v>
      </c>
      <c r="S802" s="4">
        <f t="shared" si="143"/>
        <v>0</v>
      </c>
      <c r="U802" s="4">
        <f t="shared" si="146"/>
        <v>0</v>
      </c>
      <c r="W802" s="4">
        <f t="shared" si="144"/>
        <v>0</v>
      </c>
      <c r="Y802" s="4">
        <f t="shared" si="145"/>
        <v>0</v>
      </c>
    </row>
    <row r="803" spans="1:25" hidden="1" outlineLevel="1" x14ac:dyDescent="0.35">
      <c r="A803" s="39" t="s">
        <v>1934</v>
      </c>
      <c r="B803" s="39" t="s">
        <v>109</v>
      </c>
      <c r="C803" s="39" t="s">
        <v>109</v>
      </c>
      <c r="D803" s="39" t="s">
        <v>1935</v>
      </c>
      <c r="E803" s="40" t="s">
        <v>226</v>
      </c>
      <c r="F803" s="39" t="s">
        <v>41</v>
      </c>
      <c r="G803" s="39" t="s">
        <v>110</v>
      </c>
      <c r="H803" s="47">
        <v>0</v>
      </c>
      <c r="I803" s="36">
        <f t="shared" si="139"/>
        <v>0</v>
      </c>
      <c r="J803" s="37">
        <f t="shared" si="137"/>
        <v>0</v>
      </c>
      <c r="K803" s="37">
        <f t="shared" si="138"/>
        <v>0</v>
      </c>
      <c r="M803" s="37">
        <f t="shared" si="140"/>
        <v>0</v>
      </c>
      <c r="O803" s="4">
        <f t="shared" si="141"/>
        <v>0</v>
      </c>
      <c r="Q803" s="4">
        <f t="shared" si="142"/>
        <v>0</v>
      </c>
      <c r="S803" s="4">
        <f t="shared" si="143"/>
        <v>0</v>
      </c>
      <c r="U803" s="4">
        <f t="shared" si="146"/>
        <v>0</v>
      </c>
      <c r="W803" s="4">
        <f t="shared" si="144"/>
        <v>0</v>
      </c>
      <c r="Y803" s="4">
        <f t="shared" si="145"/>
        <v>0</v>
      </c>
    </row>
    <row r="804" spans="1:25" hidden="1" outlineLevel="1" x14ac:dyDescent="0.35">
      <c r="A804" s="39" t="s">
        <v>1936</v>
      </c>
      <c r="B804" s="39" t="s">
        <v>109</v>
      </c>
      <c r="C804" s="39" t="s">
        <v>109</v>
      </c>
      <c r="D804" s="39" t="s">
        <v>1937</v>
      </c>
      <c r="E804" s="40" t="s">
        <v>246</v>
      </c>
      <c r="F804" s="39" t="s">
        <v>41</v>
      </c>
      <c r="G804" s="39" t="s">
        <v>110</v>
      </c>
      <c r="H804" s="47">
        <v>0</v>
      </c>
      <c r="I804" s="36">
        <f t="shared" si="139"/>
        <v>0</v>
      </c>
      <c r="J804" s="37">
        <f t="shared" si="137"/>
        <v>0</v>
      </c>
      <c r="K804" s="37">
        <f t="shared" si="138"/>
        <v>0</v>
      </c>
      <c r="M804" s="37">
        <f t="shared" si="140"/>
        <v>0</v>
      </c>
      <c r="O804" s="4">
        <f t="shared" si="141"/>
        <v>0</v>
      </c>
      <c r="Q804" s="4">
        <f t="shared" si="142"/>
        <v>0</v>
      </c>
      <c r="S804" s="4">
        <f t="shared" si="143"/>
        <v>0</v>
      </c>
      <c r="U804" s="4">
        <f t="shared" si="146"/>
        <v>0</v>
      </c>
      <c r="W804" s="4">
        <f t="shared" si="144"/>
        <v>0</v>
      </c>
      <c r="Y804" s="4">
        <f t="shared" si="145"/>
        <v>0</v>
      </c>
    </row>
    <row r="805" spans="1:25" hidden="1" outlineLevel="1" x14ac:dyDescent="0.35">
      <c r="A805" s="39" t="s">
        <v>1938</v>
      </c>
      <c r="B805" s="39" t="s">
        <v>109</v>
      </c>
      <c r="C805" s="39" t="s">
        <v>1939</v>
      </c>
      <c r="D805" s="39" t="s">
        <v>470</v>
      </c>
      <c r="E805" s="40" t="s">
        <v>106</v>
      </c>
      <c r="F805" s="39" t="s">
        <v>41</v>
      </c>
      <c r="G805" s="39" t="s">
        <v>110</v>
      </c>
      <c r="H805" s="47">
        <v>0</v>
      </c>
      <c r="I805" s="36">
        <f t="shared" si="139"/>
        <v>0</v>
      </c>
      <c r="J805" s="37">
        <f t="shared" si="137"/>
        <v>0</v>
      </c>
      <c r="K805" s="37">
        <f t="shared" si="138"/>
        <v>0</v>
      </c>
      <c r="M805" s="37">
        <f t="shared" si="140"/>
        <v>0</v>
      </c>
      <c r="O805" s="4">
        <f t="shared" si="141"/>
        <v>0</v>
      </c>
      <c r="Q805" s="4">
        <f t="shared" si="142"/>
        <v>0</v>
      </c>
      <c r="S805" s="4">
        <f t="shared" si="143"/>
        <v>0</v>
      </c>
      <c r="U805" s="4">
        <f t="shared" si="146"/>
        <v>0</v>
      </c>
      <c r="W805" s="4">
        <f t="shared" si="144"/>
        <v>0</v>
      </c>
      <c r="Y805" s="4">
        <f t="shared" si="145"/>
        <v>0</v>
      </c>
    </row>
    <row r="806" spans="1:25" hidden="1" outlineLevel="1" x14ac:dyDescent="0.35">
      <c r="A806" s="39" t="s">
        <v>1940</v>
      </c>
      <c r="B806" s="39" t="s">
        <v>109</v>
      </c>
      <c r="C806" s="39" t="s">
        <v>109</v>
      </c>
      <c r="D806" s="39" t="s">
        <v>1941</v>
      </c>
      <c r="E806" s="40" t="s">
        <v>56</v>
      </c>
      <c r="F806" s="39" t="s">
        <v>41</v>
      </c>
      <c r="G806" s="39" t="s">
        <v>110</v>
      </c>
      <c r="H806" s="47">
        <v>0</v>
      </c>
      <c r="I806" s="36">
        <f t="shared" si="139"/>
        <v>0</v>
      </c>
      <c r="J806" s="37">
        <f t="shared" si="137"/>
        <v>0</v>
      </c>
      <c r="K806" s="37">
        <f t="shared" si="138"/>
        <v>0</v>
      </c>
      <c r="M806" s="37">
        <f t="shared" si="140"/>
        <v>0</v>
      </c>
      <c r="O806" s="4">
        <f t="shared" si="141"/>
        <v>0</v>
      </c>
      <c r="Q806" s="4">
        <f t="shared" si="142"/>
        <v>0</v>
      </c>
      <c r="S806" s="4">
        <f t="shared" si="143"/>
        <v>0</v>
      </c>
      <c r="U806" s="4">
        <f t="shared" si="146"/>
        <v>0</v>
      </c>
      <c r="W806" s="4">
        <f t="shared" si="144"/>
        <v>0</v>
      </c>
      <c r="Y806" s="4">
        <f t="shared" si="145"/>
        <v>0</v>
      </c>
    </row>
    <row r="807" spans="1:25" hidden="1" outlineLevel="1" x14ac:dyDescent="0.35">
      <c r="A807" s="39" t="s">
        <v>1942</v>
      </c>
      <c r="B807" s="39" t="s">
        <v>109</v>
      </c>
      <c r="C807" s="39" t="s">
        <v>109</v>
      </c>
      <c r="D807" s="39" t="s">
        <v>1943</v>
      </c>
      <c r="E807" s="40" t="s">
        <v>367</v>
      </c>
      <c r="F807" s="39" t="s">
        <v>41</v>
      </c>
      <c r="G807" s="39" t="s">
        <v>110</v>
      </c>
      <c r="H807" s="47">
        <v>0</v>
      </c>
      <c r="I807" s="36">
        <f t="shared" si="139"/>
        <v>0</v>
      </c>
      <c r="J807" s="37">
        <f t="shared" si="137"/>
        <v>0</v>
      </c>
      <c r="K807" s="37">
        <f t="shared" si="138"/>
        <v>0</v>
      </c>
      <c r="M807" s="37">
        <f t="shared" si="140"/>
        <v>0</v>
      </c>
      <c r="O807" s="4">
        <f t="shared" si="141"/>
        <v>0</v>
      </c>
      <c r="Q807" s="4">
        <f t="shared" si="142"/>
        <v>0</v>
      </c>
      <c r="S807" s="4">
        <f t="shared" si="143"/>
        <v>0</v>
      </c>
      <c r="U807" s="4">
        <f t="shared" si="146"/>
        <v>0</v>
      </c>
      <c r="W807" s="4">
        <f t="shared" si="144"/>
        <v>0</v>
      </c>
      <c r="Y807" s="4">
        <f t="shared" si="145"/>
        <v>0</v>
      </c>
    </row>
    <row r="808" spans="1:25" hidden="1" outlineLevel="1" x14ac:dyDescent="0.35">
      <c r="A808" s="39" t="s">
        <v>1944</v>
      </c>
      <c r="B808" s="39" t="s">
        <v>109</v>
      </c>
      <c r="C808" s="39" t="s">
        <v>109</v>
      </c>
      <c r="D808" s="39" t="s">
        <v>1945</v>
      </c>
      <c r="E808" s="40" t="s">
        <v>51</v>
      </c>
      <c r="F808" s="39" t="s">
        <v>41</v>
      </c>
      <c r="G808" s="39" t="s">
        <v>110</v>
      </c>
      <c r="H808" s="47">
        <v>0</v>
      </c>
      <c r="I808" s="36">
        <f t="shared" si="139"/>
        <v>0</v>
      </c>
      <c r="J808" s="37">
        <f t="shared" si="137"/>
        <v>0</v>
      </c>
      <c r="K808" s="37">
        <f t="shared" si="138"/>
        <v>0</v>
      </c>
      <c r="M808" s="37">
        <f t="shared" si="140"/>
        <v>0</v>
      </c>
      <c r="O808" s="4">
        <f t="shared" si="141"/>
        <v>0</v>
      </c>
      <c r="Q808" s="4">
        <f t="shared" si="142"/>
        <v>0</v>
      </c>
      <c r="S808" s="4">
        <f t="shared" si="143"/>
        <v>0</v>
      </c>
      <c r="U808" s="4">
        <f t="shared" si="146"/>
        <v>0</v>
      </c>
      <c r="W808" s="4">
        <f t="shared" si="144"/>
        <v>0</v>
      </c>
      <c r="Y808" s="4">
        <f t="shared" si="145"/>
        <v>0</v>
      </c>
    </row>
    <row r="809" spans="1:25" hidden="1" outlineLevel="1" x14ac:dyDescent="0.35">
      <c r="A809" s="39" t="s">
        <v>1946</v>
      </c>
      <c r="B809" s="39" t="s">
        <v>109</v>
      </c>
      <c r="C809" s="39" t="s">
        <v>1947</v>
      </c>
      <c r="D809" s="39" t="s">
        <v>1948</v>
      </c>
      <c r="E809" s="40" t="s">
        <v>78</v>
      </c>
      <c r="F809" s="39" t="s">
        <v>41</v>
      </c>
      <c r="G809" s="39" t="s">
        <v>110</v>
      </c>
      <c r="H809" s="47">
        <v>0</v>
      </c>
      <c r="I809" s="36">
        <f t="shared" si="139"/>
        <v>0</v>
      </c>
      <c r="J809" s="37">
        <f t="shared" si="137"/>
        <v>0</v>
      </c>
      <c r="K809" s="37">
        <f t="shared" si="138"/>
        <v>0</v>
      </c>
      <c r="M809" s="37">
        <f t="shared" si="140"/>
        <v>0</v>
      </c>
      <c r="O809" s="4">
        <f t="shared" si="141"/>
        <v>0</v>
      </c>
      <c r="Q809" s="4">
        <f t="shared" si="142"/>
        <v>0</v>
      </c>
      <c r="S809" s="4">
        <f t="shared" si="143"/>
        <v>0</v>
      </c>
      <c r="U809" s="4">
        <f t="shared" si="146"/>
        <v>0</v>
      </c>
      <c r="W809" s="4">
        <f t="shared" si="144"/>
        <v>0</v>
      </c>
      <c r="Y809" s="4">
        <f t="shared" si="145"/>
        <v>0</v>
      </c>
    </row>
    <row r="810" spans="1:25" hidden="1" outlineLevel="1" x14ac:dyDescent="0.35">
      <c r="A810" s="39" t="s">
        <v>1949</v>
      </c>
      <c r="B810" s="39" t="s">
        <v>109</v>
      </c>
      <c r="C810" s="39" t="s">
        <v>109</v>
      </c>
      <c r="D810" s="39" t="s">
        <v>1950</v>
      </c>
      <c r="E810" s="40" t="s">
        <v>367</v>
      </c>
      <c r="F810" s="39" t="s">
        <v>41</v>
      </c>
      <c r="G810" s="39" t="s">
        <v>110</v>
      </c>
      <c r="H810" s="47">
        <v>0</v>
      </c>
      <c r="I810" s="36">
        <f t="shared" si="139"/>
        <v>0</v>
      </c>
      <c r="J810" s="37">
        <f t="shared" si="137"/>
        <v>0</v>
      </c>
      <c r="K810" s="37">
        <f t="shared" si="138"/>
        <v>0</v>
      </c>
      <c r="M810" s="37">
        <f t="shared" si="140"/>
        <v>0</v>
      </c>
      <c r="O810" s="4">
        <f t="shared" si="141"/>
        <v>0</v>
      </c>
      <c r="Q810" s="4">
        <f t="shared" si="142"/>
        <v>0</v>
      </c>
      <c r="S810" s="4">
        <f t="shared" si="143"/>
        <v>0</v>
      </c>
      <c r="U810" s="4">
        <f t="shared" si="146"/>
        <v>0</v>
      </c>
      <c r="W810" s="4">
        <f t="shared" si="144"/>
        <v>0</v>
      </c>
      <c r="Y810" s="4">
        <f t="shared" si="145"/>
        <v>0</v>
      </c>
    </row>
    <row r="811" spans="1:25" hidden="1" outlineLevel="1" x14ac:dyDescent="0.35">
      <c r="A811" s="39" t="s">
        <v>1951</v>
      </c>
      <c r="B811" s="39" t="s">
        <v>109</v>
      </c>
      <c r="C811" s="39" t="s">
        <v>109</v>
      </c>
      <c r="D811" s="39" t="s">
        <v>1952</v>
      </c>
      <c r="E811" s="40" t="s">
        <v>100</v>
      </c>
      <c r="F811" s="39" t="s">
        <v>101</v>
      </c>
      <c r="G811" s="39" t="s">
        <v>110</v>
      </c>
      <c r="H811" s="47">
        <v>0</v>
      </c>
      <c r="I811" s="36">
        <f t="shared" si="139"/>
        <v>0</v>
      </c>
      <c r="J811" s="37">
        <f t="shared" si="137"/>
        <v>0</v>
      </c>
      <c r="K811" s="37">
        <f t="shared" si="138"/>
        <v>0</v>
      </c>
      <c r="M811" s="37">
        <f t="shared" si="140"/>
        <v>0</v>
      </c>
      <c r="O811" s="4">
        <f t="shared" si="141"/>
        <v>0</v>
      </c>
      <c r="Q811" s="4">
        <f t="shared" si="142"/>
        <v>0</v>
      </c>
      <c r="S811" s="4">
        <f t="shared" si="143"/>
        <v>0</v>
      </c>
      <c r="U811" s="4">
        <f t="shared" si="146"/>
        <v>0</v>
      </c>
      <c r="W811" s="4">
        <f t="shared" si="144"/>
        <v>0</v>
      </c>
      <c r="Y811" s="4">
        <f t="shared" si="145"/>
        <v>0</v>
      </c>
    </row>
    <row r="812" spans="1:25" hidden="1" outlineLevel="1" x14ac:dyDescent="0.35">
      <c r="A812" s="39" t="s">
        <v>1953</v>
      </c>
      <c r="B812" s="39" t="s">
        <v>109</v>
      </c>
      <c r="C812" s="39" t="s">
        <v>109</v>
      </c>
      <c r="D812" s="39" t="s">
        <v>1954</v>
      </c>
      <c r="E812" s="40" t="s">
        <v>841</v>
      </c>
      <c r="F812" s="39" t="s">
        <v>101</v>
      </c>
      <c r="G812" s="39" t="s">
        <v>110</v>
      </c>
      <c r="H812" s="47">
        <v>0</v>
      </c>
      <c r="I812" s="36">
        <f t="shared" si="139"/>
        <v>0</v>
      </c>
      <c r="J812" s="37">
        <f t="shared" ref="J812:J875" si="147">H812*$F$7</f>
        <v>0</v>
      </c>
      <c r="K812" s="37">
        <f t="shared" ref="K812:K875" si="148">H812*$G$7</f>
        <v>0</v>
      </c>
      <c r="M812" s="37">
        <f t="shared" si="140"/>
        <v>0</v>
      </c>
      <c r="O812" s="4">
        <f t="shared" si="141"/>
        <v>0</v>
      </c>
      <c r="Q812" s="4">
        <f t="shared" si="142"/>
        <v>0</v>
      </c>
      <c r="S812" s="4">
        <f t="shared" si="143"/>
        <v>0</v>
      </c>
      <c r="U812" s="4">
        <f t="shared" si="146"/>
        <v>0</v>
      </c>
      <c r="W812" s="4">
        <f t="shared" si="144"/>
        <v>0</v>
      </c>
      <c r="Y812" s="4">
        <f t="shared" si="145"/>
        <v>0</v>
      </c>
    </row>
    <row r="813" spans="1:25" hidden="1" outlineLevel="1" x14ac:dyDescent="0.35">
      <c r="A813" s="39" t="s">
        <v>1955</v>
      </c>
      <c r="B813" s="39" t="s">
        <v>109</v>
      </c>
      <c r="C813" s="39" t="s">
        <v>109</v>
      </c>
      <c r="D813" s="39" t="s">
        <v>65</v>
      </c>
      <c r="E813" s="40" t="s">
        <v>66</v>
      </c>
      <c r="F813" s="39" t="s">
        <v>41</v>
      </c>
      <c r="G813" s="39" t="s">
        <v>110</v>
      </c>
      <c r="H813" s="47">
        <v>0</v>
      </c>
      <c r="I813" s="36">
        <f t="shared" ref="I813:I876" si="149">$E$7*H813</f>
        <v>0</v>
      </c>
      <c r="J813" s="37">
        <f t="shared" si="147"/>
        <v>0</v>
      </c>
      <c r="K813" s="37">
        <f t="shared" si="148"/>
        <v>0</v>
      </c>
      <c r="M813" s="37">
        <f t="shared" ref="M813:M876" si="150">0.5*(AVERAGE(J813:K813))</f>
        <v>0</v>
      </c>
      <c r="O813" s="4">
        <f t="shared" ref="O813:O876" si="151">I813*$E$3</f>
        <v>0</v>
      </c>
      <c r="Q813" s="4">
        <f t="shared" ref="Q813:Q876" si="152">I813*$E$3/12</f>
        <v>0</v>
      </c>
      <c r="S813" s="4">
        <f t="shared" ref="S813:S876" si="153">Q813*$E$4</f>
        <v>0</v>
      </c>
      <c r="U813" s="4">
        <f t="shared" si="146"/>
        <v>0</v>
      </c>
      <c r="W813" s="4">
        <f t="shared" ref="W813:W876" si="154">S813*$E$5</f>
        <v>0</v>
      </c>
      <c r="Y813" s="4">
        <f t="shared" ref="Y813:Y876" si="155">M813*$E$6</f>
        <v>0</v>
      </c>
    </row>
    <row r="814" spans="1:25" hidden="1" outlineLevel="1" x14ac:dyDescent="0.35">
      <c r="A814" s="39" t="s">
        <v>1956</v>
      </c>
      <c r="B814" s="39" t="s">
        <v>109</v>
      </c>
      <c r="C814" s="39" t="s">
        <v>109</v>
      </c>
      <c r="D814" s="39" t="s">
        <v>1957</v>
      </c>
      <c r="E814" s="40" t="s">
        <v>200</v>
      </c>
      <c r="F814" s="39" t="s">
        <v>41</v>
      </c>
      <c r="G814" s="39" t="s">
        <v>110</v>
      </c>
      <c r="H814" s="47">
        <v>0</v>
      </c>
      <c r="I814" s="36">
        <f t="shared" si="149"/>
        <v>0</v>
      </c>
      <c r="J814" s="37">
        <f t="shared" si="147"/>
        <v>0</v>
      </c>
      <c r="K814" s="37">
        <f t="shared" si="148"/>
        <v>0</v>
      </c>
      <c r="M814" s="37">
        <f t="shared" si="150"/>
        <v>0</v>
      </c>
      <c r="O814" s="4">
        <f t="shared" si="151"/>
        <v>0</v>
      </c>
      <c r="Q814" s="4">
        <f t="shared" si="152"/>
        <v>0</v>
      </c>
      <c r="S814" s="4">
        <f t="shared" si="153"/>
        <v>0</v>
      </c>
      <c r="U814" s="4">
        <f t="shared" ref="U814:U877" si="156">W814*12</f>
        <v>0</v>
      </c>
      <c r="W814" s="4">
        <f t="shared" si="154"/>
        <v>0</v>
      </c>
      <c r="Y814" s="4">
        <f t="shared" si="155"/>
        <v>0</v>
      </c>
    </row>
    <row r="815" spans="1:25" hidden="1" outlineLevel="1" x14ac:dyDescent="0.35">
      <c r="A815" s="39" t="s">
        <v>1958</v>
      </c>
      <c r="B815" s="39" t="s">
        <v>109</v>
      </c>
      <c r="C815" s="39" t="s">
        <v>109</v>
      </c>
      <c r="D815" s="39" t="s">
        <v>109</v>
      </c>
      <c r="E815" s="40" t="s">
        <v>109</v>
      </c>
      <c r="F815" s="39" t="s">
        <v>41</v>
      </c>
      <c r="G815" s="39" t="s">
        <v>110</v>
      </c>
      <c r="H815" s="47">
        <v>0</v>
      </c>
      <c r="I815" s="36">
        <f t="shared" si="149"/>
        <v>0</v>
      </c>
      <c r="J815" s="37">
        <f t="shared" si="147"/>
        <v>0</v>
      </c>
      <c r="K815" s="37">
        <f t="shared" si="148"/>
        <v>0</v>
      </c>
      <c r="M815" s="37">
        <f t="shared" si="150"/>
        <v>0</v>
      </c>
      <c r="O815" s="4">
        <f t="shared" si="151"/>
        <v>0</v>
      </c>
      <c r="Q815" s="4">
        <f t="shared" si="152"/>
        <v>0</v>
      </c>
      <c r="S815" s="4">
        <f t="shared" si="153"/>
        <v>0</v>
      </c>
      <c r="U815" s="4">
        <f t="shared" si="156"/>
        <v>0</v>
      </c>
      <c r="W815" s="4">
        <f t="shared" si="154"/>
        <v>0</v>
      </c>
      <c r="Y815" s="4">
        <f t="shared" si="155"/>
        <v>0</v>
      </c>
    </row>
    <row r="816" spans="1:25" hidden="1" outlineLevel="1" x14ac:dyDescent="0.35">
      <c r="A816" s="39" t="s">
        <v>1959</v>
      </c>
      <c r="B816" s="39" t="s">
        <v>109</v>
      </c>
      <c r="C816" s="39" t="s">
        <v>1960</v>
      </c>
      <c r="D816" s="39" t="s">
        <v>1961</v>
      </c>
      <c r="E816" s="40" t="s">
        <v>78</v>
      </c>
      <c r="F816" s="39" t="s">
        <v>41</v>
      </c>
      <c r="G816" s="39" t="s">
        <v>110</v>
      </c>
      <c r="H816" s="47">
        <v>0</v>
      </c>
      <c r="I816" s="36">
        <f t="shared" si="149"/>
        <v>0</v>
      </c>
      <c r="J816" s="37">
        <f t="shared" si="147"/>
        <v>0</v>
      </c>
      <c r="K816" s="37">
        <f t="shared" si="148"/>
        <v>0</v>
      </c>
      <c r="M816" s="37">
        <f t="shared" si="150"/>
        <v>0</v>
      </c>
      <c r="O816" s="4">
        <f t="shared" si="151"/>
        <v>0</v>
      </c>
      <c r="Q816" s="4">
        <f t="shared" si="152"/>
        <v>0</v>
      </c>
      <c r="S816" s="4">
        <f t="shared" si="153"/>
        <v>0</v>
      </c>
      <c r="U816" s="4">
        <f t="shared" si="156"/>
        <v>0</v>
      </c>
      <c r="W816" s="4">
        <f t="shared" si="154"/>
        <v>0</v>
      </c>
      <c r="Y816" s="4">
        <f t="shared" si="155"/>
        <v>0</v>
      </c>
    </row>
    <row r="817" spans="1:25" hidden="1" outlineLevel="1" x14ac:dyDescent="0.35">
      <c r="A817" s="39" t="s">
        <v>1962</v>
      </c>
      <c r="B817" s="39" t="s">
        <v>109</v>
      </c>
      <c r="C817" s="39" t="s">
        <v>109</v>
      </c>
      <c r="D817" s="39" t="s">
        <v>1963</v>
      </c>
      <c r="E817" s="40" t="s">
        <v>95</v>
      </c>
      <c r="F817" s="39" t="s">
        <v>41</v>
      </c>
      <c r="G817" s="39" t="s">
        <v>110</v>
      </c>
      <c r="H817" s="47">
        <v>0</v>
      </c>
      <c r="I817" s="36">
        <f t="shared" si="149"/>
        <v>0</v>
      </c>
      <c r="J817" s="37">
        <f t="shared" si="147"/>
        <v>0</v>
      </c>
      <c r="K817" s="37">
        <f t="shared" si="148"/>
        <v>0</v>
      </c>
      <c r="M817" s="37">
        <f t="shared" si="150"/>
        <v>0</v>
      </c>
      <c r="O817" s="4">
        <f t="shared" si="151"/>
        <v>0</v>
      </c>
      <c r="Q817" s="4">
        <f t="shared" si="152"/>
        <v>0</v>
      </c>
      <c r="S817" s="4">
        <f t="shared" si="153"/>
        <v>0</v>
      </c>
      <c r="U817" s="4">
        <f t="shared" si="156"/>
        <v>0</v>
      </c>
      <c r="W817" s="4">
        <f t="shared" si="154"/>
        <v>0</v>
      </c>
      <c r="Y817" s="4">
        <f t="shared" si="155"/>
        <v>0</v>
      </c>
    </row>
    <row r="818" spans="1:25" hidden="1" outlineLevel="1" x14ac:dyDescent="0.35">
      <c r="A818" s="39" t="s">
        <v>1964</v>
      </c>
      <c r="B818" s="39" t="s">
        <v>109</v>
      </c>
      <c r="C818" s="39" t="s">
        <v>109</v>
      </c>
      <c r="D818" s="39" t="s">
        <v>1965</v>
      </c>
      <c r="E818" s="40" t="s">
        <v>827</v>
      </c>
      <c r="F818" s="39" t="s">
        <v>101</v>
      </c>
      <c r="G818" s="39" t="s">
        <v>1966</v>
      </c>
      <c r="H818" s="47">
        <v>0</v>
      </c>
      <c r="I818" s="36">
        <f t="shared" si="149"/>
        <v>0</v>
      </c>
      <c r="J818" s="37">
        <f t="shared" si="147"/>
        <v>0</v>
      </c>
      <c r="K818" s="37">
        <f t="shared" si="148"/>
        <v>0</v>
      </c>
      <c r="M818" s="37">
        <f t="shared" si="150"/>
        <v>0</v>
      </c>
      <c r="O818" s="4">
        <f t="shared" si="151"/>
        <v>0</v>
      </c>
      <c r="Q818" s="4">
        <f t="shared" si="152"/>
        <v>0</v>
      </c>
      <c r="S818" s="4">
        <f t="shared" si="153"/>
        <v>0</v>
      </c>
      <c r="U818" s="4">
        <f t="shared" si="156"/>
        <v>0</v>
      </c>
      <c r="W818" s="4">
        <f t="shared" si="154"/>
        <v>0</v>
      </c>
      <c r="Y818" s="4">
        <f t="shared" si="155"/>
        <v>0</v>
      </c>
    </row>
    <row r="819" spans="1:25" hidden="1" outlineLevel="1" x14ac:dyDescent="0.35">
      <c r="A819" s="39" t="s">
        <v>1967</v>
      </c>
      <c r="B819" s="39" t="s">
        <v>109</v>
      </c>
      <c r="C819" s="39" t="s">
        <v>109</v>
      </c>
      <c r="D819" s="39" t="s">
        <v>1968</v>
      </c>
      <c r="E819" s="40" t="s">
        <v>1018</v>
      </c>
      <c r="F819" s="39" t="s">
        <v>41</v>
      </c>
      <c r="G819" s="39" t="s">
        <v>1969</v>
      </c>
      <c r="H819" s="47">
        <v>0</v>
      </c>
      <c r="I819" s="36">
        <f t="shared" si="149"/>
        <v>0</v>
      </c>
      <c r="J819" s="37">
        <f t="shared" si="147"/>
        <v>0</v>
      </c>
      <c r="K819" s="37">
        <f t="shared" si="148"/>
        <v>0</v>
      </c>
      <c r="M819" s="37">
        <f t="shared" si="150"/>
        <v>0</v>
      </c>
      <c r="O819" s="4">
        <f t="shared" si="151"/>
        <v>0</v>
      </c>
      <c r="Q819" s="4">
        <f t="shared" si="152"/>
        <v>0</v>
      </c>
      <c r="S819" s="4">
        <f t="shared" si="153"/>
        <v>0</v>
      </c>
      <c r="U819" s="4">
        <f t="shared" si="156"/>
        <v>0</v>
      </c>
      <c r="W819" s="4">
        <f t="shared" si="154"/>
        <v>0</v>
      </c>
      <c r="Y819" s="4">
        <f t="shared" si="155"/>
        <v>0</v>
      </c>
    </row>
    <row r="820" spans="1:25" hidden="1" outlineLevel="1" x14ac:dyDescent="0.35">
      <c r="A820" s="39" t="s">
        <v>1970</v>
      </c>
      <c r="B820" s="39" t="s">
        <v>109</v>
      </c>
      <c r="C820" s="39" t="s">
        <v>109</v>
      </c>
      <c r="D820" s="39" t="s">
        <v>203</v>
      </c>
      <c r="E820" s="40" t="s">
        <v>114</v>
      </c>
      <c r="F820" s="39" t="s">
        <v>41</v>
      </c>
      <c r="G820" s="39" t="s">
        <v>110</v>
      </c>
      <c r="H820" s="47">
        <v>0</v>
      </c>
      <c r="I820" s="36">
        <f t="shared" si="149"/>
        <v>0</v>
      </c>
      <c r="J820" s="37">
        <f t="shared" si="147"/>
        <v>0</v>
      </c>
      <c r="K820" s="37">
        <f t="shared" si="148"/>
        <v>0</v>
      </c>
      <c r="M820" s="37">
        <f t="shared" si="150"/>
        <v>0</v>
      </c>
      <c r="O820" s="4">
        <f t="shared" si="151"/>
        <v>0</v>
      </c>
      <c r="Q820" s="4">
        <f t="shared" si="152"/>
        <v>0</v>
      </c>
      <c r="S820" s="4">
        <f t="shared" si="153"/>
        <v>0</v>
      </c>
      <c r="U820" s="4">
        <f t="shared" si="156"/>
        <v>0</v>
      </c>
      <c r="W820" s="4">
        <f t="shared" si="154"/>
        <v>0</v>
      </c>
      <c r="Y820" s="4">
        <f t="shared" si="155"/>
        <v>0</v>
      </c>
    </row>
    <row r="821" spans="1:25" hidden="1" outlineLevel="1" x14ac:dyDescent="0.35">
      <c r="A821" s="39" t="s">
        <v>1971</v>
      </c>
      <c r="B821" s="39" t="s">
        <v>109</v>
      </c>
      <c r="C821" s="39" t="s">
        <v>109</v>
      </c>
      <c r="D821" s="39" t="s">
        <v>848</v>
      </c>
      <c r="E821" s="40" t="s">
        <v>165</v>
      </c>
      <c r="F821" s="39" t="s">
        <v>41</v>
      </c>
      <c r="G821" s="39" t="s">
        <v>1972</v>
      </c>
      <c r="H821" s="47">
        <v>0</v>
      </c>
      <c r="I821" s="36">
        <f t="shared" si="149"/>
        <v>0</v>
      </c>
      <c r="J821" s="37">
        <f t="shared" si="147"/>
        <v>0</v>
      </c>
      <c r="K821" s="37">
        <f t="shared" si="148"/>
        <v>0</v>
      </c>
      <c r="M821" s="37">
        <f t="shared" si="150"/>
        <v>0</v>
      </c>
      <c r="O821" s="4">
        <f t="shared" si="151"/>
        <v>0</v>
      </c>
      <c r="Q821" s="4">
        <f t="shared" si="152"/>
        <v>0</v>
      </c>
      <c r="S821" s="4">
        <f t="shared" si="153"/>
        <v>0</v>
      </c>
      <c r="U821" s="4">
        <f t="shared" si="156"/>
        <v>0</v>
      </c>
      <c r="W821" s="4">
        <f t="shared" si="154"/>
        <v>0</v>
      </c>
      <c r="Y821" s="4">
        <f t="shared" si="155"/>
        <v>0</v>
      </c>
    </row>
    <row r="822" spans="1:25" hidden="1" outlineLevel="1" x14ac:dyDescent="0.35">
      <c r="A822" s="39" t="s">
        <v>1973</v>
      </c>
      <c r="B822" s="39" t="s">
        <v>109</v>
      </c>
      <c r="C822" s="39" t="s">
        <v>109</v>
      </c>
      <c r="D822" s="39" t="s">
        <v>109</v>
      </c>
      <c r="E822" s="40" t="s">
        <v>109</v>
      </c>
      <c r="F822" s="39" t="s">
        <v>41</v>
      </c>
      <c r="G822" s="39" t="s">
        <v>110</v>
      </c>
      <c r="H822" s="47">
        <v>0</v>
      </c>
      <c r="I822" s="36">
        <f t="shared" si="149"/>
        <v>0</v>
      </c>
      <c r="J822" s="37">
        <f t="shared" si="147"/>
        <v>0</v>
      </c>
      <c r="K822" s="37">
        <f t="shared" si="148"/>
        <v>0</v>
      </c>
      <c r="M822" s="37">
        <f t="shared" si="150"/>
        <v>0</v>
      </c>
      <c r="O822" s="4">
        <f t="shared" si="151"/>
        <v>0</v>
      </c>
      <c r="Q822" s="4">
        <f t="shared" si="152"/>
        <v>0</v>
      </c>
      <c r="S822" s="4">
        <f t="shared" si="153"/>
        <v>0</v>
      </c>
      <c r="U822" s="4">
        <f t="shared" si="156"/>
        <v>0</v>
      </c>
      <c r="W822" s="4">
        <f t="shared" si="154"/>
        <v>0</v>
      </c>
      <c r="Y822" s="4">
        <f t="shared" si="155"/>
        <v>0</v>
      </c>
    </row>
    <row r="823" spans="1:25" hidden="1" outlineLevel="1" x14ac:dyDescent="0.35">
      <c r="A823" s="39" t="s">
        <v>1974</v>
      </c>
      <c r="B823" s="39" t="s">
        <v>109</v>
      </c>
      <c r="C823" s="39" t="s">
        <v>109</v>
      </c>
      <c r="D823" s="39" t="s">
        <v>1975</v>
      </c>
      <c r="E823" s="40" t="s">
        <v>165</v>
      </c>
      <c r="F823" s="39" t="s">
        <v>41</v>
      </c>
      <c r="G823" s="39" t="s">
        <v>110</v>
      </c>
      <c r="H823" s="47">
        <v>0</v>
      </c>
      <c r="I823" s="36">
        <f t="shared" si="149"/>
        <v>0</v>
      </c>
      <c r="J823" s="37">
        <f t="shared" si="147"/>
        <v>0</v>
      </c>
      <c r="K823" s="37">
        <f t="shared" si="148"/>
        <v>0</v>
      </c>
      <c r="M823" s="37">
        <f t="shared" si="150"/>
        <v>0</v>
      </c>
      <c r="O823" s="4">
        <f t="shared" si="151"/>
        <v>0</v>
      </c>
      <c r="Q823" s="4">
        <f t="shared" si="152"/>
        <v>0</v>
      </c>
      <c r="S823" s="4">
        <f t="shared" si="153"/>
        <v>0</v>
      </c>
      <c r="U823" s="4">
        <f t="shared" si="156"/>
        <v>0</v>
      </c>
      <c r="W823" s="4">
        <f t="shared" si="154"/>
        <v>0</v>
      </c>
      <c r="Y823" s="4">
        <f t="shared" si="155"/>
        <v>0</v>
      </c>
    </row>
    <row r="824" spans="1:25" hidden="1" outlineLevel="1" x14ac:dyDescent="0.35">
      <c r="A824" s="39" t="s">
        <v>1976</v>
      </c>
      <c r="B824" s="39" t="s">
        <v>109</v>
      </c>
      <c r="C824" s="39" t="s">
        <v>109</v>
      </c>
      <c r="D824" s="39" t="s">
        <v>1977</v>
      </c>
      <c r="E824" s="40" t="s">
        <v>827</v>
      </c>
      <c r="F824" s="39" t="s">
        <v>101</v>
      </c>
      <c r="G824" s="39" t="s">
        <v>1978</v>
      </c>
      <c r="H824" s="47">
        <v>0</v>
      </c>
      <c r="I824" s="36">
        <f t="shared" si="149"/>
        <v>0</v>
      </c>
      <c r="J824" s="37">
        <f t="shared" si="147"/>
        <v>0</v>
      </c>
      <c r="K824" s="37">
        <f t="shared" si="148"/>
        <v>0</v>
      </c>
      <c r="M824" s="37">
        <f t="shared" si="150"/>
        <v>0</v>
      </c>
      <c r="O824" s="4">
        <f t="shared" si="151"/>
        <v>0</v>
      </c>
      <c r="Q824" s="4">
        <f t="shared" si="152"/>
        <v>0</v>
      </c>
      <c r="S824" s="4">
        <f t="shared" si="153"/>
        <v>0</v>
      </c>
      <c r="U824" s="4">
        <f t="shared" si="156"/>
        <v>0</v>
      </c>
      <c r="W824" s="4">
        <f t="shared" si="154"/>
        <v>0</v>
      </c>
      <c r="Y824" s="4">
        <f t="shared" si="155"/>
        <v>0</v>
      </c>
    </row>
    <row r="825" spans="1:25" hidden="1" outlineLevel="1" x14ac:dyDescent="0.35">
      <c r="A825" s="39" t="s">
        <v>1979</v>
      </c>
      <c r="B825" s="39" t="s">
        <v>109</v>
      </c>
      <c r="C825" s="39" t="s">
        <v>109</v>
      </c>
      <c r="D825" s="39" t="s">
        <v>1980</v>
      </c>
      <c r="E825" s="40" t="s">
        <v>70</v>
      </c>
      <c r="F825" s="39" t="s">
        <v>41</v>
      </c>
      <c r="G825" s="39" t="s">
        <v>110</v>
      </c>
      <c r="H825" s="47">
        <v>0</v>
      </c>
      <c r="I825" s="36">
        <f t="shared" si="149"/>
        <v>0</v>
      </c>
      <c r="J825" s="37">
        <f t="shared" si="147"/>
        <v>0</v>
      </c>
      <c r="K825" s="37">
        <f t="shared" si="148"/>
        <v>0</v>
      </c>
      <c r="M825" s="37">
        <f t="shared" si="150"/>
        <v>0</v>
      </c>
      <c r="O825" s="4">
        <f t="shared" si="151"/>
        <v>0</v>
      </c>
      <c r="Q825" s="4">
        <f t="shared" si="152"/>
        <v>0</v>
      </c>
      <c r="S825" s="4">
        <f t="shared" si="153"/>
        <v>0</v>
      </c>
      <c r="U825" s="4">
        <f t="shared" si="156"/>
        <v>0</v>
      </c>
      <c r="W825" s="4">
        <f t="shared" si="154"/>
        <v>0</v>
      </c>
      <c r="Y825" s="4">
        <f t="shared" si="155"/>
        <v>0</v>
      </c>
    </row>
    <row r="826" spans="1:25" hidden="1" outlineLevel="1" x14ac:dyDescent="0.35">
      <c r="A826" s="39" t="s">
        <v>1981</v>
      </c>
      <c r="B826" s="39" t="s">
        <v>109</v>
      </c>
      <c r="C826" s="39" t="s">
        <v>109</v>
      </c>
      <c r="D826" s="39" t="s">
        <v>109</v>
      </c>
      <c r="E826" s="40" t="s">
        <v>109</v>
      </c>
      <c r="F826" s="39" t="s">
        <v>41</v>
      </c>
      <c r="G826" s="39" t="s">
        <v>110</v>
      </c>
      <c r="H826" s="47">
        <v>0</v>
      </c>
      <c r="I826" s="36">
        <f t="shared" si="149"/>
        <v>0</v>
      </c>
      <c r="J826" s="37">
        <f t="shared" si="147"/>
        <v>0</v>
      </c>
      <c r="K826" s="37">
        <f t="shared" si="148"/>
        <v>0</v>
      </c>
      <c r="M826" s="37">
        <f t="shared" si="150"/>
        <v>0</v>
      </c>
      <c r="O826" s="4">
        <f t="shared" si="151"/>
        <v>0</v>
      </c>
      <c r="Q826" s="4">
        <f t="shared" si="152"/>
        <v>0</v>
      </c>
      <c r="S826" s="4">
        <f t="shared" si="153"/>
        <v>0</v>
      </c>
      <c r="U826" s="4">
        <f t="shared" si="156"/>
        <v>0</v>
      </c>
      <c r="W826" s="4">
        <f t="shared" si="154"/>
        <v>0</v>
      </c>
      <c r="Y826" s="4">
        <f t="shared" si="155"/>
        <v>0</v>
      </c>
    </row>
    <row r="827" spans="1:25" hidden="1" outlineLevel="1" x14ac:dyDescent="0.35">
      <c r="A827" s="39" t="s">
        <v>1982</v>
      </c>
      <c r="B827" s="39" t="s">
        <v>109</v>
      </c>
      <c r="C827" s="39" t="s">
        <v>109</v>
      </c>
      <c r="D827" s="39" t="s">
        <v>109</v>
      </c>
      <c r="E827" s="40" t="s">
        <v>109</v>
      </c>
      <c r="F827" s="39" t="s">
        <v>41</v>
      </c>
      <c r="G827" s="39" t="s">
        <v>110</v>
      </c>
      <c r="H827" s="47">
        <v>0</v>
      </c>
      <c r="I827" s="36">
        <f t="shared" si="149"/>
        <v>0</v>
      </c>
      <c r="J827" s="37">
        <f t="shared" si="147"/>
        <v>0</v>
      </c>
      <c r="K827" s="37">
        <f t="shared" si="148"/>
        <v>0</v>
      </c>
      <c r="M827" s="37">
        <f t="shared" si="150"/>
        <v>0</v>
      </c>
      <c r="O827" s="4">
        <f t="shared" si="151"/>
        <v>0</v>
      </c>
      <c r="Q827" s="4">
        <f t="shared" si="152"/>
        <v>0</v>
      </c>
      <c r="S827" s="4">
        <f t="shared" si="153"/>
        <v>0</v>
      </c>
      <c r="U827" s="4">
        <f t="shared" si="156"/>
        <v>0</v>
      </c>
      <c r="W827" s="4">
        <f t="shared" si="154"/>
        <v>0</v>
      </c>
      <c r="Y827" s="4">
        <f t="shared" si="155"/>
        <v>0</v>
      </c>
    </row>
    <row r="828" spans="1:25" hidden="1" outlineLevel="1" x14ac:dyDescent="0.35">
      <c r="A828" s="39" t="s">
        <v>1983</v>
      </c>
      <c r="B828" s="39" t="s">
        <v>109</v>
      </c>
      <c r="C828" s="39" t="s">
        <v>109</v>
      </c>
      <c r="D828" s="39" t="s">
        <v>1984</v>
      </c>
      <c r="E828" s="40" t="s">
        <v>784</v>
      </c>
      <c r="F828" s="39" t="s">
        <v>41</v>
      </c>
      <c r="G828" s="39" t="s">
        <v>110</v>
      </c>
      <c r="H828" s="47">
        <v>0</v>
      </c>
      <c r="I828" s="36">
        <f t="shared" si="149"/>
        <v>0</v>
      </c>
      <c r="J828" s="37">
        <f t="shared" si="147"/>
        <v>0</v>
      </c>
      <c r="K828" s="37">
        <f t="shared" si="148"/>
        <v>0</v>
      </c>
      <c r="M828" s="37">
        <f t="shared" si="150"/>
        <v>0</v>
      </c>
      <c r="O828" s="4">
        <f t="shared" si="151"/>
        <v>0</v>
      </c>
      <c r="Q828" s="4">
        <f t="shared" si="152"/>
        <v>0</v>
      </c>
      <c r="S828" s="4">
        <f t="shared" si="153"/>
        <v>0</v>
      </c>
      <c r="U828" s="4">
        <f t="shared" si="156"/>
        <v>0</v>
      </c>
      <c r="W828" s="4">
        <f t="shared" si="154"/>
        <v>0</v>
      </c>
      <c r="Y828" s="4">
        <f t="shared" si="155"/>
        <v>0</v>
      </c>
    </row>
    <row r="829" spans="1:25" hidden="1" outlineLevel="1" x14ac:dyDescent="0.35">
      <c r="A829" s="39" t="s">
        <v>1985</v>
      </c>
      <c r="B829" s="39" t="s">
        <v>109</v>
      </c>
      <c r="C829" s="39" t="s">
        <v>109</v>
      </c>
      <c r="D829" s="39" t="s">
        <v>109</v>
      </c>
      <c r="E829" s="40" t="s">
        <v>109</v>
      </c>
      <c r="F829" s="39" t="s">
        <v>41</v>
      </c>
      <c r="G829" s="39" t="s">
        <v>110</v>
      </c>
      <c r="H829" s="47">
        <v>0</v>
      </c>
      <c r="I829" s="36">
        <f t="shared" si="149"/>
        <v>0</v>
      </c>
      <c r="J829" s="37">
        <f t="shared" si="147"/>
        <v>0</v>
      </c>
      <c r="K829" s="37">
        <f t="shared" si="148"/>
        <v>0</v>
      </c>
      <c r="M829" s="37">
        <f t="shared" si="150"/>
        <v>0</v>
      </c>
      <c r="O829" s="4">
        <f t="shared" si="151"/>
        <v>0</v>
      </c>
      <c r="Q829" s="4">
        <f t="shared" si="152"/>
        <v>0</v>
      </c>
      <c r="S829" s="4">
        <f t="shared" si="153"/>
        <v>0</v>
      </c>
      <c r="U829" s="4">
        <f t="shared" si="156"/>
        <v>0</v>
      </c>
      <c r="W829" s="4">
        <f t="shared" si="154"/>
        <v>0</v>
      </c>
      <c r="Y829" s="4">
        <f t="shared" si="155"/>
        <v>0</v>
      </c>
    </row>
    <row r="830" spans="1:25" hidden="1" outlineLevel="1" x14ac:dyDescent="0.35">
      <c r="A830" s="39" t="s">
        <v>1986</v>
      </c>
      <c r="B830" s="39" t="s">
        <v>109</v>
      </c>
      <c r="C830" s="39" t="s">
        <v>109</v>
      </c>
      <c r="D830" s="39" t="s">
        <v>1178</v>
      </c>
      <c r="E830" s="40" t="s">
        <v>226</v>
      </c>
      <c r="F830" s="39" t="s">
        <v>41</v>
      </c>
      <c r="G830" s="39" t="s">
        <v>1987</v>
      </c>
      <c r="H830" s="47">
        <v>0</v>
      </c>
      <c r="I830" s="36">
        <f t="shared" si="149"/>
        <v>0</v>
      </c>
      <c r="J830" s="37">
        <f t="shared" si="147"/>
        <v>0</v>
      </c>
      <c r="K830" s="37">
        <f t="shared" si="148"/>
        <v>0</v>
      </c>
      <c r="M830" s="37">
        <f t="shared" si="150"/>
        <v>0</v>
      </c>
      <c r="O830" s="4">
        <f t="shared" si="151"/>
        <v>0</v>
      </c>
      <c r="Q830" s="4">
        <f t="shared" si="152"/>
        <v>0</v>
      </c>
      <c r="S830" s="4">
        <f t="shared" si="153"/>
        <v>0</v>
      </c>
      <c r="U830" s="4">
        <f t="shared" si="156"/>
        <v>0</v>
      </c>
      <c r="W830" s="4">
        <f t="shared" si="154"/>
        <v>0</v>
      </c>
      <c r="Y830" s="4">
        <f t="shared" si="155"/>
        <v>0</v>
      </c>
    </row>
    <row r="831" spans="1:25" hidden="1" outlineLevel="1" x14ac:dyDescent="0.35">
      <c r="A831" s="39" t="s">
        <v>1988</v>
      </c>
      <c r="B831" s="39" t="s">
        <v>109</v>
      </c>
      <c r="C831" s="39" t="s">
        <v>1989</v>
      </c>
      <c r="D831" s="39" t="s">
        <v>1990</v>
      </c>
      <c r="E831" s="40" t="s">
        <v>255</v>
      </c>
      <c r="F831" s="39" t="s">
        <v>41</v>
      </c>
      <c r="G831" s="39" t="s">
        <v>1991</v>
      </c>
      <c r="H831" s="47">
        <v>0</v>
      </c>
      <c r="I831" s="36">
        <f t="shared" si="149"/>
        <v>0</v>
      </c>
      <c r="J831" s="37">
        <f t="shared" si="147"/>
        <v>0</v>
      </c>
      <c r="K831" s="37">
        <f t="shared" si="148"/>
        <v>0</v>
      </c>
      <c r="M831" s="37">
        <f t="shared" si="150"/>
        <v>0</v>
      </c>
      <c r="O831" s="4">
        <f t="shared" si="151"/>
        <v>0</v>
      </c>
      <c r="Q831" s="4">
        <f t="shared" si="152"/>
        <v>0</v>
      </c>
      <c r="S831" s="4">
        <f t="shared" si="153"/>
        <v>0</v>
      </c>
      <c r="U831" s="4">
        <f t="shared" si="156"/>
        <v>0</v>
      </c>
      <c r="W831" s="4">
        <f t="shared" si="154"/>
        <v>0</v>
      </c>
      <c r="Y831" s="4">
        <f t="shared" si="155"/>
        <v>0</v>
      </c>
    </row>
    <row r="832" spans="1:25" hidden="1" outlineLevel="1" x14ac:dyDescent="0.35">
      <c r="A832" s="39" t="s">
        <v>1992</v>
      </c>
      <c r="B832" s="39" t="s">
        <v>109</v>
      </c>
      <c r="C832" s="39" t="s">
        <v>109</v>
      </c>
      <c r="D832" s="39" t="s">
        <v>495</v>
      </c>
      <c r="E832" s="40" t="s">
        <v>109</v>
      </c>
      <c r="F832" s="39" t="s">
        <v>41</v>
      </c>
      <c r="G832" s="39" t="s">
        <v>110</v>
      </c>
      <c r="H832" s="47">
        <v>0</v>
      </c>
      <c r="I832" s="36">
        <f t="shared" si="149"/>
        <v>0</v>
      </c>
      <c r="J832" s="37">
        <f t="shared" si="147"/>
        <v>0</v>
      </c>
      <c r="K832" s="37">
        <f t="shared" si="148"/>
        <v>0</v>
      </c>
      <c r="M832" s="37">
        <f t="shared" si="150"/>
        <v>0</v>
      </c>
      <c r="O832" s="4">
        <f t="shared" si="151"/>
        <v>0</v>
      </c>
      <c r="Q832" s="4">
        <f t="shared" si="152"/>
        <v>0</v>
      </c>
      <c r="S832" s="4">
        <f t="shared" si="153"/>
        <v>0</v>
      </c>
      <c r="U832" s="4">
        <f t="shared" si="156"/>
        <v>0</v>
      </c>
      <c r="W832" s="4">
        <f t="shared" si="154"/>
        <v>0</v>
      </c>
      <c r="Y832" s="4">
        <f t="shared" si="155"/>
        <v>0</v>
      </c>
    </row>
    <row r="833" spans="1:25" hidden="1" outlineLevel="1" x14ac:dyDescent="0.35">
      <c r="A833" s="39" t="s">
        <v>1993</v>
      </c>
      <c r="B833" s="39" t="s">
        <v>109</v>
      </c>
      <c r="C833" s="39" t="s">
        <v>109</v>
      </c>
      <c r="D833" s="39" t="s">
        <v>916</v>
      </c>
      <c r="E833" s="40" t="s">
        <v>431</v>
      </c>
      <c r="F833" s="39" t="s">
        <v>101</v>
      </c>
      <c r="G833" s="39" t="s">
        <v>110</v>
      </c>
      <c r="H833" s="47">
        <v>0</v>
      </c>
      <c r="I833" s="36">
        <f t="shared" si="149"/>
        <v>0</v>
      </c>
      <c r="J833" s="37">
        <f t="shared" si="147"/>
        <v>0</v>
      </c>
      <c r="K833" s="37">
        <f t="shared" si="148"/>
        <v>0</v>
      </c>
      <c r="M833" s="37">
        <f t="shared" si="150"/>
        <v>0</v>
      </c>
      <c r="O833" s="4">
        <f t="shared" si="151"/>
        <v>0</v>
      </c>
      <c r="Q833" s="4">
        <f t="shared" si="152"/>
        <v>0</v>
      </c>
      <c r="S833" s="4">
        <f t="shared" si="153"/>
        <v>0</v>
      </c>
      <c r="U833" s="4">
        <f t="shared" si="156"/>
        <v>0</v>
      </c>
      <c r="W833" s="4">
        <f t="shared" si="154"/>
        <v>0</v>
      </c>
      <c r="Y833" s="4">
        <f t="shared" si="155"/>
        <v>0</v>
      </c>
    </row>
    <row r="834" spans="1:25" hidden="1" outlineLevel="1" x14ac:dyDescent="0.35">
      <c r="A834" s="39" t="s">
        <v>1994</v>
      </c>
      <c r="B834" s="39" t="s">
        <v>109</v>
      </c>
      <c r="C834" s="39" t="s">
        <v>109</v>
      </c>
      <c r="D834" s="39" t="s">
        <v>1835</v>
      </c>
      <c r="E834" s="40" t="s">
        <v>827</v>
      </c>
      <c r="F834" s="39" t="s">
        <v>101</v>
      </c>
      <c r="G834" s="39" t="s">
        <v>1995</v>
      </c>
      <c r="H834" s="47">
        <v>0</v>
      </c>
      <c r="I834" s="36">
        <f t="shared" si="149"/>
        <v>0</v>
      </c>
      <c r="J834" s="37">
        <f t="shared" si="147"/>
        <v>0</v>
      </c>
      <c r="K834" s="37">
        <f t="shared" si="148"/>
        <v>0</v>
      </c>
      <c r="M834" s="37">
        <f t="shared" si="150"/>
        <v>0</v>
      </c>
      <c r="O834" s="4">
        <f t="shared" si="151"/>
        <v>0</v>
      </c>
      <c r="Q834" s="4">
        <f t="shared" si="152"/>
        <v>0</v>
      </c>
      <c r="S834" s="4">
        <f t="shared" si="153"/>
        <v>0</v>
      </c>
      <c r="U834" s="4">
        <f t="shared" si="156"/>
        <v>0</v>
      </c>
      <c r="W834" s="4">
        <f t="shared" si="154"/>
        <v>0</v>
      </c>
      <c r="Y834" s="4">
        <f t="shared" si="155"/>
        <v>0</v>
      </c>
    </row>
    <row r="835" spans="1:25" hidden="1" outlineLevel="1" x14ac:dyDescent="0.35">
      <c r="A835" s="39" t="s">
        <v>1996</v>
      </c>
      <c r="B835" s="39" t="s">
        <v>109</v>
      </c>
      <c r="C835" s="39" t="s">
        <v>109</v>
      </c>
      <c r="D835" s="39" t="s">
        <v>1997</v>
      </c>
      <c r="E835" s="40" t="s">
        <v>841</v>
      </c>
      <c r="F835" s="39" t="s">
        <v>101</v>
      </c>
      <c r="G835" s="39" t="s">
        <v>1998</v>
      </c>
      <c r="H835" s="47">
        <v>0</v>
      </c>
      <c r="I835" s="36">
        <f t="shared" si="149"/>
        <v>0</v>
      </c>
      <c r="J835" s="37">
        <f t="shared" si="147"/>
        <v>0</v>
      </c>
      <c r="K835" s="37">
        <f t="shared" si="148"/>
        <v>0</v>
      </c>
      <c r="M835" s="37">
        <f t="shared" si="150"/>
        <v>0</v>
      </c>
      <c r="O835" s="4">
        <f t="shared" si="151"/>
        <v>0</v>
      </c>
      <c r="Q835" s="4">
        <f t="shared" si="152"/>
        <v>0</v>
      </c>
      <c r="S835" s="4">
        <f t="shared" si="153"/>
        <v>0</v>
      </c>
      <c r="U835" s="4">
        <f t="shared" si="156"/>
        <v>0</v>
      </c>
      <c r="W835" s="4">
        <f t="shared" si="154"/>
        <v>0</v>
      </c>
      <c r="Y835" s="4">
        <f t="shared" si="155"/>
        <v>0</v>
      </c>
    </row>
    <row r="836" spans="1:25" hidden="1" outlineLevel="1" x14ac:dyDescent="0.35">
      <c r="A836" s="39" t="s">
        <v>1999</v>
      </c>
      <c r="B836" s="39" t="s">
        <v>109</v>
      </c>
      <c r="C836" s="39" t="s">
        <v>109</v>
      </c>
      <c r="D836" s="39" t="s">
        <v>989</v>
      </c>
      <c r="E836" s="40" t="s">
        <v>130</v>
      </c>
      <c r="F836" s="39" t="s">
        <v>101</v>
      </c>
      <c r="G836" s="39" t="s">
        <v>2000</v>
      </c>
      <c r="H836" s="47">
        <v>0</v>
      </c>
      <c r="I836" s="36">
        <f t="shared" si="149"/>
        <v>0</v>
      </c>
      <c r="J836" s="37">
        <f t="shared" si="147"/>
        <v>0</v>
      </c>
      <c r="K836" s="37">
        <f t="shared" si="148"/>
        <v>0</v>
      </c>
      <c r="M836" s="37">
        <f t="shared" si="150"/>
        <v>0</v>
      </c>
      <c r="O836" s="4">
        <f t="shared" si="151"/>
        <v>0</v>
      </c>
      <c r="Q836" s="4">
        <f t="shared" si="152"/>
        <v>0</v>
      </c>
      <c r="S836" s="4">
        <f t="shared" si="153"/>
        <v>0</v>
      </c>
      <c r="U836" s="4">
        <f t="shared" si="156"/>
        <v>0</v>
      </c>
      <c r="W836" s="4">
        <f t="shared" si="154"/>
        <v>0</v>
      </c>
      <c r="Y836" s="4">
        <f t="shared" si="155"/>
        <v>0</v>
      </c>
    </row>
    <row r="837" spans="1:25" hidden="1" outlineLevel="1" x14ac:dyDescent="0.35">
      <c r="A837" s="39" t="s">
        <v>2001</v>
      </c>
      <c r="B837" s="39" t="s">
        <v>109</v>
      </c>
      <c r="C837" s="39" t="s">
        <v>109</v>
      </c>
      <c r="D837" s="39" t="s">
        <v>1835</v>
      </c>
      <c r="E837" s="40" t="s">
        <v>827</v>
      </c>
      <c r="F837" s="39" t="s">
        <v>101</v>
      </c>
      <c r="G837" s="39" t="s">
        <v>110</v>
      </c>
      <c r="H837" s="47">
        <v>0</v>
      </c>
      <c r="I837" s="36">
        <f t="shared" si="149"/>
        <v>0</v>
      </c>
      <c r="J837" s="37">
        <f t="shared" si="147"/>
        <v>0</v>
      </c>
      <c r="K837" s="37">
        <f t="shared" si="148"/>
        <v>0</v>
      </c>
      <c r="M837" s="37">
        <f t="shared" si="150"/>
        <v>0</v>
      </c>
      <c r="O837" s="4">
        <f t="shared" si="151"/>
        <v>0</v>
      </c>
      <c r="Q837" s="4">
        <f t="shared" si="152"/>
        <v>0</v>
      </c>
      <c r="S837" s="4">
        <f t="shared" si="153"/>
        <v>0</v>
      </c>
      <c r="U837" s="4">
        <f t="shared" si="156"/>
        <v>0</v>
      </c>
      <c r="W837" s="4">
        <f t="shared" si="154"/>
        <v>0</v>
      </c>
      <c r="Y837" s="4">
        <f t="shared" si="155"/>
        <v>0</v>
      </c>
    </row>
    <row r="838" spans="1:25" hidden="1" outlineLevel="1" x14ac:dyDescent="0.35">
      <c r="A838" s="39" t="s">
        <v>2002</v>
      </c>
      <c r="B838" s="39" t="s">
        <v>109</v>
      </c>
      <c r="C838" s="39" t="s">
        <v>109</v>
      </c>
      <c r="D838" s="39" t="s">
        <v>1830</v>
      </c>
      <c r="E838" s="40" t="s">
        <v>161</v>
      </c>
      <c r="F838" s="39" t="s">
        <v>101</v>
      </c>
      <c r="G838" s="39" t="s">
        <v>2003</v>
      </c>
      <c r="H838" s="47">
        <v>0</v>
      </c>
      <c r="I838" s="36">
        <f t="shared" si="149"/>
        <v>0</v>
      </c>
      <c r="J838" s="37">
        <f t="shared" si="147"/>
        <v>0</v>
      </c>
      <c r="K838" s="37">
        <f t="shared" si="148"/>
        <v>0</v>
      </c>
      <c r="M838" s="37">
        <f t="shared" si="150"/>
        <v>0</v>
      </c>
      <c r="O838" s="4">
        <f t="shared" si="151"/>
        <v>0</v>
      </c>
      <c r="Q838" s="4">
        <f t="shared" si="152"/>
        <v>0</v>
      </c>
      <c r="S838" s="4">
        <f t="shared" si="153"/>
        <v>0</v>
      </c>
      <c r="U838" s="4">
        <f t="shared" si="156"/>
        <v>0</v>
      </c>
      <c r="W838" s="4">
        <f t="shared" si="154"/>
        <v>0</v>
      </c>
      <c r="Y838" s="4">
        <f t="shared" si="155"/>
        <v>0</v>
      </c>
    </row>
    <row r="839" spans="1:25" hidden="1" outlineLevel="1" x14ac:dyDescent="0.35">
      <c r="A839" s="39" t="s">
        <v>2004</v>
      </c>
      <c r="B839" s="39" t="s">
        <v>109</v>
      </c>
      <c r="C839" s="39" t="s">
        <v>109</v>
      </c>
      <c r="D839" s="39" t="s">
        <v>2005</v>
      </c>
      <c r="E839" s="40" t="s">
        <v>100</v>
      </c>
      <c r="F839" s="39" t="s">
        <v>101</v>
      </c>
      <c r="G839" s="39" t="s">
        <v>110</v>
      </c>
      <c r="H839" s="47">
        <v>0</v>
      </c>
      <c r="I839" s="36">
        <f t="shared" si="149"/>
        <v>0</v>
      </c>
      <c r="J839" s="37">
        <f t="shared" si="147"/>
        <v>0</v>
      </c>
      <c r="K839" s="37">
        <f t="shared" si="148"/>
        <v>0</v>
      </c>
      <c r="M839" s="37">
        <f t="shared" si="150"/>
        <v>0</v>
      </c>
      <c r="O839" s="4">
        <f t="shared" si="151"/>
        <v>0</v>
      </c>
      <c r="Q839" s="4">
        <f t="shared" si="152"/>
        <v>0</v>
      </c>
      <c r="S839" s="4">
        <f t="shared" si="153"/>
        <v>0</v>
      </c>
      <c r="U839" s="4">
        <f t="shared" si="156"/>
        <v>0</v>
      </c>
      <c r="W839" s="4">
        <f t="shared" si="154"/>
        <v>0</v>
      </c>
      <c r="Y839" s="4">
        <f t="shared" si="155"/>
        <v>0</v>
      </c>
    </row>
    <row r="840" spans="1:25" hidden="1" outlineLevel="1" x14ac:dyDescent="0.35">
      <c r="A840" s="39" t="s">
        <v>2006</v>
      </c>
      <c r="B840" s="39" t="s">
        <v>109</v>
      </c>
      <c r="C840" s="39" t="s">
        <v>2007</v>
      </c>
      <c r="D840" s="39" t="s">
        <v>109</v>
      </c>
      <c r="E840" s="40" t="s">
        <v>109</v>
      </c>
      <c r="F840" s="39" t="s">
        <v>41</v>
      </c>
      <c r="G840" s="39" t="s">
        <v>2008</v>
      </c>
      <c r="H840" s="47">
        <v>0</v>
      </c>
      <c r="I840" s="36">
        <f t="shared" si="149"/>
        <v>0</v>
      </c>
      <c r="J840" s="37">
        <f t="shared" si="147"/>
        <v>0</v>
      </c>
      <c r="K840" s="37">
        <f t="shared" si="148"/>
        <v>0</v>
      </c>
      <c r="M840" s="37">
        <f t="shared" si="150"/>
        <v>0</v>
      </c>
      <c r="O840" s="4">
        <f t="shared" si="151"/>
        <v>0</v>
      </c>
      <c r="Q840" s="4">
        <f t="shared" si="152"/>
        <v>0</v>
      </c>
      <c r="S840" s="4">
        <f t="shared" si="153"/>
        <v>0</v>
      </c>
      <c r="U840" s="4">
        <f t="shared" si="156"/>
        <v>0</v>
      </c>
      <c r="W840" s="4">
        <f t="shared" si="154"/>
        <v>0</v>
      </c>
      <c r="Y840" s="4">
        <f t="shared" si="155"/>
        <v>0</v>
      </c>
    </row>
    <row r="841" spans="1:25" hidden="1" outlineLevel="1" x14ac:dyDescent="0.35">
      <c r="A841" s="39" t="s">
        <v>2009</v>
      </c>
      <c r="B841" s="39" t="s">
        <v>109</v>
      </c>
      <c r="C841" s="39" t="s">
        <v>109</v>
      </c>
      <c r="D841" s="39" t="s">
        <v>1830</v>
      </c>
      <c r="E841" s="40" t="s">
        <v>161</v>
      </c>
      <c r="F841" s="39" t="s">
        <v>101</v>
      </c>
      <c r="G841" s="39" t="s">
        <v>2010</v>
      </c>
      <c r="H841" s="47">
        <v>0</v>
      </c>
      <c r="I841" s="36">
        <f t="shared" si="149"/>
        <v>0</v>
      </c>
      <c r="J841" s="37">
        <f t="shared" si="147"/>
        <v>0</v>
      </c>
      <c r="K841" s="37">
        <f t="shared" si="148"/>
        <v>0</v>
      </c>
      <c r="M841" s="37">
        <f t="shared" si="150"/>
        <v>0</v>
      </c>
      <c r="O841" s="4">
        <f t="shared" si="151"/>
        <v>0</v>
      </c>
      <c r="Q841" s="4">
        <f t="shared" si="152"/>
        <v>0</v>
      </c>
      <c r="S841" s="4">
        <f t="shared" si="153"/>
        <v>0</v>
      </c>
      <c r="U841" s="4">
        <f t="shared" si="156"/>
        <v>0</v>
      </c>
      <c r="W841" s="4">
        <f t="shared" si="154"/>
        <v>0</v>
      </c>
      <c r="Y841" s="4">
        <f t="shared" si="155"/>
        <v>0</v>
      </c>
    </row>
    <row r="842" spans="1:25" hidden="1" outlineLevel="1" x14ac:dyDescent="0.35">
      <c r="A842" s="39" t="s">
        <v>2011</v>
      </c>
      <c r="B842" s="39" t="s">
        <v>109</v>
      </c>
      <c r="C842" s="39" t="s">
        <v>109</v>
      </c>
      <c r="D842" s="39" t="s">
        <v>1835</v>
      </c>
      <c r="E842" s="40" t="s">
        <v>827</v>
      </c>
      <c r="F842" s="39" t="s">
        <v>101</v>
      </c>
      <c r="G842" s="39" t="s">
        <v>2012</v>
      </c>
      <c r="H842" s="47">
        <v>0</v>
      </c>
      <c r="I842" s="36">
        <f t="shared" si="149"/>
        <v>0</v>
      </c>
      <c r="J842" s="37">
        <f t="shared" si="147"/>
        <v>0</v>
      </c>
      <c r="K842" s="37">
        <f t="shared" si="148"/>
        <v>0</v>
      </c>
      <c r="M842" s="37">
        <f t="shared" si="150"/>
        <v>0</v>
      </c>
      <c r="O842" s="4">
        <f t="shared" si="151"/>
        <v>0</v>
      </c>
      <c r="Q842" s="4">
        <f t="shared" si="152"/>
        <v>0</v>
      </c>
      <c r="S842" s="4">
        <f t="shared" si="153"/>
        <v>0</v>
      </c>
      <c r="U842" s="4">
        <f t="shared" si="156"/>
        <v>0</v>
      </c>
      <c r="W842" s="4">
        <f t="shared" si="154"/>
        <v>0</v>
      </c>
      <c r="Y842" s="4">
        <f t="shared" si="155"/>
        <v>0</v>
      </c>
    </row>
    <row r="843" spans="1:25" hidden="1" outlineLevel="1" x14ac:dyDescent="0.35">
      <c r="A843" s="39" t="s">
        <v>2013</v>
      </c>
      <c r="B843" s="39" t="s">
        <v>109</v>
      </c>
      <c r="C843" s="39" t="s">
        <v>2014</v>
      </c>
      <c r="D843" s="39" t="s">
        <v>1830</v>
      </c>
      <c r="E843" s="40" t="s">
        <v>161</v>
      </c>
      <c r="F843" s="39" t="s">
        <v>101</v>
      </c>
      <c r="G843" s="39" t="s">
        <v>2015</v>
      </c>
      <c r="H843" s="47">
        <v>0</v>
      </c>
      <c r="I843" s="36">
        <f t="shared" si="149"/>
        <v>0</v>
      </c>
      <c r="J843" s="37">
        <f t="shared" si="147"/>
        <v>0</v>
      </c>
      <c r="K843" s="37">
        <f t="shared" si="148"/>
        <v>0</v>
      </c>
      <c r="M843" s="37">
        <f t="shared" si="150"/>
        <v>0</v>
      </c>
      <c r="O843" s="4">
        <f t="shared" si="151"/>
        <v>0</v>
      </c>
      <c r="Q843" s="4">
        <f t="shared" si="152"/>
        <v>0</v>
      </c>
      <c r="S843" s="4">
        <f t="shared" si="153"/>
        <v>0</v>
      </c>
      <c r="U843" s="4">
        <f t="shared" si="156"/>
        <v>0</v>
      </c>
      <c r="W843" s="4">
        <f t="shared" si="154"/>
        <v>0</v>
      </c>
      <c r="Y843" s="4">
        <f t="shared" si="155"/>
        <v>0</v>
      </c>
    </row>
    <row r="844" spans="1:25" hidden="1" outlineLevel="1" x14ac:dyDescent="0.35">
      <c r="A844" s="39" t="s">
        <v>2016</v>
      </c>
      <c r="B844" s="39" t="s">
        <v>109</v>
      </c>
      <c r="C844" s="39" t="s">
        <v>109</v>
      </c>
      <c r="D844" s="39" t="s">
        <v>2017</v>
      </c>
      <c r="E844" s="40" t="s">
        <v>100</v>
      </c>
      <c r="F844" s="39" t="s">
        <v>101</v>
      </c>
      <c r="G844" s="39" t="s">
        <v>110</v>
      </c>
      <c r="H844" s="47">
        <v>0</v>
      </c>
      <c r="I844" s="36">
        <f t="shared" si="149"/>
        <v>0</v>
      </c>
      <c r="J844" s="37">
        <f t="shared" si="147"/>
        <v>0</v>
      </c>
      <c r="K844" s="37">
        <f t="shared" si="148"/>
        <v>0</v>
      </c>
      <c r="M844" s="37">
        <f t="shared" si="150"/>
        <v>0</v>
      </c>
      <c r="O844" s="4">
        <f t="shared" si="151"/>
        <v>0</v>
      </c>
      <c r="Q844" s="4">
        <f t="shared" si="152"/>
        <v>0</v>
      </c>
      <c r="S844" s="4">
        <f t="shared" si="153"/>
        <v>0</v>
      </c>
      <c r="U844" s="4">
        <f t="shared" si="156"/>
        <v>0</v>
      </c>
      <c r="W844" s="4">
        <f t="shared" si="154"/>
        <v>0</v>
      </c>
      <c r="Y844" s="4">
        <f t="shared" si="155"/>
        <v>0</v>
      </c>
    </row>
    <row r="845" spans="1:25" hidden="1" outlineLevel="1" x14ac:dyDescent="0.35">
      <c r="A845" s="39" t="s">
        <v>2018</v>
      </c>
      <c r="B845" s="39" t="s">
        <v>109</v>
      </c>
      <c r="C845" s="39" t="s">
        <v>109</v>
      </c>
      <c r="D845" s="39" t="s">
        <v>1835</v>
      </c>
      <c r="E845" s="40" t="s">
        <v>827</v>
      </c>
      <c r="F845" s="39" t="s">
        <v>101</v>
      </c>
      <c r="G845" s="39" t="s">
        <v>2019</v>
      </c>
      <c r="H845" s="47">
        <v>0</v>
      </c>
      <c r="I845" s="36">
        <f t="shared" si="149"/>
        <v>0</v>
      </c>
      <c r="J845" s="37">
        <f t="shared" si="147"/>
        <v>0</v>
      </c>
      <c r="K845" s="37">
        <f t="shared" si="148"/>
        <v>0</v>
      </c>
      <c r="M845" s="37">
        <f t="shared" si="150"/>
        <v>0</v>
      </c>
      <c r="O845" s="4">
        <f t="shared" si="151"/>
        <v>0</v>
      </c>
      <c r="Q845" s="4">
        <f t="shared" si="152"/>
        <v>0</v>
      </c>
      <c r="S845" s="4">
        <f t="shared" si="153"/>
        <v>0</v>
      </c>
      <c r="U845" s="4">
        <f t="shared" si="156"/>
        <v>0</v>
      </c>
      <c r="W845" s="4">
        <f t="shared" si="154"/>
        <v>0</v>
      </c>
      <c r="Y845" s="4">
        <f t="shared" si="155"/>
        <v>0</v>
      </c>
    </row>
    <row r="846" spans="1:25" hidden="1" outlineLevel="1" x14ac:dyDescent="0.35">
      <c r="A846" s="39" t="s">
        <v>2020</v>
      </c>
      <c r="B846" s="39" t="s">
        <v>109</v>
      </c>
      <c r="C846" s="39" t="s">
        <v>109</v>
      </c>
      <c r="D846" s="39" t="s">
        <v>463</v>
      </c>
      <c r="E846" s="40" t="s">
        <v>161</v>
      </c>
      <c r="F846" s="39" t="s">
        <v>101</v>
      </c>
      <c r="G846" s="39" t="s">
        <v>2021</v>
      </c>
      <c r="H846" s="47">
        <v>0</v>
      </c>
      <c r="I846" s="36">
        <f t="shared" si="149"/>
        <v>0</v>
      </c>
      <c r="J846" s="37">
        <f t="shared" si="147"/>
        <v>0</v>
      </c>
      <c r="K846" s="37">
        <f t="shared" si="148"/>
        <v>0</v>
      </c>
      <c r="M846" s="37">
        <f t="shared" si="150"/>
        <v>0</v>
      </c>
      <c r="O846" s="4">
        <f t="shared" si="151"/>
        <v>0</v>
      </c>
      <c r="Q846" s="4">
        <f t="shared" si="152"/>
        <v>0</v>
      </c>
      <c r="S846" s="4">
        <f t="shared" si="153"/>
        <v>0</v>
      </c>
      <c r="U846" s="4">
        <f t="shared" si="156"/>
        <v>0</v>
      </c>
      <c r="W846" s="4">
        <f t="shared" si="154"/>
        <v>0</v>
      </c>
      <c r="Y846" s="4">
        <f t="shared" si="155"/>
        <v>0</v>
      </c>
    </row>
    <row r="847" spans="1:25" hidden="1" outlineLevel="1" x14ac:dyDescent="0.35">
      <c r="A847" s="39" t="s">
        <v>2022</v>
      </c>
      <c r="B847" s="39" t="s">
        <v>109</v>
      </c>
      <c r="C847" s="39" t="s">
        <v>109</v>
      </c>
      <c r="D847" s="39" t="s">
        <v>2023</v>
      </c>
      <c r="E847" s="40" t="s">
        <v>100</v>
      </c>
      <c r="F847" s="39" t="s">
        <v>101</v>
      </c>
      <c r="G847" s="39" t="s">
        <v>2024</v>
      </c>
      <c r="H847" s="47">
        <v>0</v>
      </c>
      <c r="I847" s="36">
        <f t="shared" si="149"/>
        <v>0</v>
      </c>
      <c r="J847" s="37">
        <f t="shared" si="147"/>
        <v>0</v>
      </c>
      <c r="K847" s="37">
        <f t="shared" si="148"/>
        <v>0</v>
      </c>
      <c r="M847" s="37">
        <f t="shared" si="150"/>
        <v>0</v>
      </c>
      <c r="O847" s="4">
        <f t="shared" si="151"/>
        <v>0</v>
      </c>
      <c r="Q847" s="4">
        <f t="shared" si="152"/>
        <v>0</v>
      </c>
      <c r="S847" s="4">
        <f t="shared" si="153"/>
        <v>0</v>
      </c>
      <c r="U847" s="4">
        <f t="shared" si="156"/>
        <v>0</v>
      </c>
      <c r="W847" s="4">
        <f t="shared" si="154"/>
        <v>0</v>
      </c>
      <c r="Y847" s="4">
        <f t="shared" si="155"/>
        <v>0</v>
      </c>
    </row>
    <row r="848" spans="1:25" hidden="1" outlineLevel="1" x14ac:dyDescent="0.35">
      <c r="A848" s="39" t="s">
        <v>2025</v>
      </c>
      <c r="B848" s="39" t="s">
        <v>109</v>
      </c>
      <c r="C848" s="39" t="s">
        <v>109</v>
      </c>
      <c r="D848" s="39" t="s">
        <v>109</v>
      </c>
      <c r="E848" s="40" t="s">
        <v>507</v>
      </c>
      <c r="F848" s="39" t="s">
        <v>41</v>
      </c>
      <c r="G848" s="39" t="s">
        <v>110</v>
      </c>
      <c r="H848" s="47">
        <v>0</v>
      </c>
      <c r="I848" s="36">
        <f t="shared" si="149"/>
        <v>0</v>
      </c>
      <c r="J848" s="37">
        <f t="shared" si="147"/>
        <v>0</v>
      </c>
      <c r="K848" s="37">
        <f t="shared" si="148"/>
        <v>0</v>
      </c>
      <c r="M848" s="37">
        <f t="shared" si="150"/>
        <v>0</v>
      </c>
      <c r="O848" s="4">
        <f t="shared" si="151"/>
        <v>0</v>
      </c>
      <c r="Q848" s="4">
        <f t="shared" si="152"/>
        <v>0</v>
      </c>
      <c r="S848" s="4">
        <f t="shared" si="153"/>
        <v>0</v>
      </c>
      <c r="U848" s="4">
        <f t="shared" si="156"/>
        <v>0</v>
      </c>
      <c r="W848" s="4">
        <f t="shared" si="154"/>
        <v>0</v>
      </c>
      <c r="Y848" s="4">
        <f t="shared" si="155"/>
        <v>0</v>
      </c>
    </row>
    <row r="849" spans="1:25" hidden="1" outlineLevel="1" x14ac:dyDescent="0.35">
      <c r="A849" s="39" t="s">
        <v>2026</v>
      </c>
      <c r="B849" s="39" t="s">
        <v>109</v>
      </c>
      <c r="C849" s="39" t="s">
        <v>2027</v>
      </c>
      <c r="D849" s="39" t="s">
        <v>2028</v>
      </c>
      <c r="E849" s="40" t="s">
        <v>431</v>
      </c>
      <c r="F849" s="39" t="s">
        <v>101</v>
      </c>
      <c r="G849" s="39" t="s">
        <v>2029</v>
      </c>
      <c r="H849" s="47">
        <v>0</v>
      </c>
      <c r="I849" s="36">
        <f t="shared" si="149"/>
        <v>0</v>
      </c>
      <c r="J849" s="37">
        <f t="shared" si="147"/>
        <v>0</v>
      </c>
      <c r="K849" s="37">
        <f t="shared" si="148"/>
        <v>0</v>
      </c>
      <c r="M849" s="37">
        <f t="shared" si="150"/>
        <v>0</v>
      </c>
      <c r="O849" s="4">
        <f t="shared" si="151"/>
        <v>0</v>
      </c>
      <c r="Q849" s="4">
        <f t="shared" si="152"/>
        <v>0</v>
      </c>
      <c r="S849" s="4">
        <f t="shared" si="153"/>
        <v>0</v>
      </c>
      <c r="U849" s="4">
        <f t="shared" si="156"/>
        <v>0</v>
      </c>
      <c r="W849" s="4">
        <f t="shared" si="154"/>
        <v>0</v>
      </c>
      <c r="Y849" s="4">
        <f t="shared" si="155"/>
        <v>0</v>
      </c>
    </row>
    <row r="850" spans="1:25" hidden="1" outlineLevel="1" x14ac:dyDescent="0.35">
      <c r="A850" s="39" t="s">
        <v>2030</v>
      </c>
      <c r="B850" s="39" t="s">
        <v>109</v>
      </c>
      <c r="C850" s="39" t="s">
        <v>109</v>
      </c>
      <c r="D850" s="39" t="s">
        <v>499</v>
      </c>
      <c r="E850" s="40" t="s">
        <v>66</v>
      </c>
      <c r="F850" s="39" t="s">
        <v>41</v>
      </c>
      <c r="G850" s="39" t="s">
        <v>2031</v>
      </c>
      <c r="H850" s="47">
        <v>0</v>
      </c>
      <c r="I850" s="36">
        <f t="shared" si="149"/>
        <v>0</v>
      </c>
      <c r="J850" s="37">
        <f t="shared" si="147"/>
        <v>0</v>
      </c>
      <c r="K850" s="37">
        <f t="shared" si="148"/>
        <v>0</v>
      </c>
      <c r="M850" s="37">
        <f t="shared" si="150"/>
        <v>0</v>
      </c>
      <c r="O850" s="4">
        <f t="shared" si="151"/>
        <v>0</v>
      </c>
      <c r="Q850" s="4">
        <f t="shared" si="152"/>
        <v>0</v>
      </c>
      <c r="S850" s="4">
        <f t="shared" si="153"/>
        <v>0</v>
      </c>
      <c r="U850" s="4">
        <f t="shared" si="156"/>
        <v>0</v>
      </c>
      <c r="W850" s="4">
        <f t="shared" si="154"/>
        <v>0</v>
      </c>
      <c r="Y850" s="4">
        <f t="shared" si="155"/>
        <v>0</v>
      </c>
    </row>
    <row r="851" spans="1:25" hidden="1" outlineLevel="1" x14ac:dyDescent="0.35">
      <c r="A851" s="39" t="s">
        <v>2032</v>
      </c>
      <c r="B851" s="39" t="s">
        <v>109</v>
      </c>
      <c r="C851" s="39" t="s">
        <v>109</v>
      </c>
      <c r="D851" s="39" t="s">
        <v>2033</v>
      </c>
      <c r="E851" s="40" t="s">
        <v>100</v>
      </c>
      <c r="F851" s="39" t="s">
        <v>101</v>
      </c>
      <c r="G851" s="39" t="s">
        <v>2034</v>
      </c>
      <c r="H851" s="47">
        <v>0</v>
      </c>
      <c r="I851" s="36">
        <f t="shared" si="149"/>
        <v>0</v>
      </c>
      <c r="J851" s="37">
        <f t="shared" si="147"/>
        <v>0</v>
      </c>
      <c r="K851" s="37">
        <f t="shared" si="148"/>
        <v>0</v>
      </c>
      <c r="M851" s="37">
        <f t="shared" si="150"/>
        <v>0</v>
      </c>
      <c r="O851" s="4">
        <f t="shared" si="151"/>
        <v>0</v>
      </c>
      <c r="Q851" s="4">
        <f t="shared" si="152"/>
        <v>0</v>
      </c>
      <c r="S851" s="4">
        <f t="shared" si="153"/>
        <v>0</v>
      </c>
      <c r="U851" s="4">
        <f t="shared" si="156"/>
        <v>0</v>
      </c>
      <c r="W851" s="4">
        <f t="shared" si="154"/>
        <v>0</v>
      </c>
      <c r="Y851" s="4">
        <f t="shared" si="155"/>
        <v>0</v>
      </c>
    </row>
    <row r="852" spans="1:25" hidden="1" outlineLevel="1" x14ac:dyDescent="0.35">
      <c r="A852" s="39" t="s">
        <v>2035</v>
      </c>
      <c r="B852" s="39" t="s">
        <v>109</v>
      </c>
      <c r="C852" s="39" t="s">
        <v>109</v>
      </c>
      <c r="D852" s="39" t="s">
        <v>109</v>
      </c>
      <c r="E852" s="40" t="s">
        <v>109</v>
      </c>
      <c r="F852" s="39" t="s">
        <v>101</v>
      </c>
      <c r="G852" s="39" t="s">
        <v>110</v>
      </c>
      <c r="H852" s="47">
        <v>0</v>
      </c>
      <c r="I852" s="36">
        <f t="shared" si="149"/>
        <v>0</v>
      </c>
      <c r="J852" s="37">
        <f t="shared" si="147"/>
        <v>0</v>
      </c>
      <c r="K852" s="37">
        <f t="shared" si="148"/>
        <v>0</v>
      </c>
      <c r="M852" s="37">
        <f t="shared" si="150"/>
        <v>0</v>
      </c>
      <c r="O852" s="4">
        <f t="shared" si="151"/>
        <v>0</v>
      </c>
      <c r="Q852" s="4">
        <f t="shared" si="152"/>
        <v>0</v>
      </c>
      <c r="S852" s="4">
        <f t="shared" si="153"/>
        <v>0</v>
      </c>
      <c r="U852" s="4">
        <f t="shared" si="156"/>
        <v>0</v>
      </c>
      <c r="W852" s="4">
        <f t="shared" si="154"/>
        <v>0</v>
      </c>
      <c r="Y852" s="4">
        <f t="shared" si="155"/>
        <v>0</v>
      </c>
    </row>
    <row r="853" spans="1:25" hidden="1" outlineLevel="1" x14ac:dyDescent="0.35">
      <c r="A853" s="39" t="s">
        <v>2036</v>
      </c>
      <c r="B853" s="39" t="s">
        <v>109</v>
      </c>
      <c r="C853" s="39" t="s">
        <v>109</v>
      </c>
      <c r="D853" s="39" t="s">
        <v>2037</v>
      </c>
      <c r="E853" s="40" t="s">
        <v>841</v>
      </c>
      <c r="F853" s="39" t="s">
        <v>101</v>
      </c>
      <c r="G853" s="39" t="s">
        <v>110</v>
      </c>
      <c r="H853" s="47">
        <v>0</v>
      </c>
      <c r="I853" s="36">
        <f t="shared" si="149"/>
        <v>0</v>
      </c>
      <c r="J853" s="37">
        <f t="shared" si="147"/>
        <v>0</v>
      </c>
      <c r="K853" s="37">
        <f t="shared" si="148"/>
        <v>0</v>
      </c>
      <c r="M853" s="37">
        <f t="shared" si="150"/>
        <v>0</v>
      </c>
      <c r="O853" s="4">
        <f t="shared" si="151"/>
        <v>0</v>
      </c>
      <c r="Q853" s="4">
        <f t="shared" si="152"/>
        <v>0</v>
      </c>
      <c r="S853" s="4">
        <f t="shared" si="153"/>
        <v>0</v>
      </c>
      <c r="U853" s="4">
        <f t="shared" si="156"/>
        <v>0</v>
      </c>
      <c r="W853" s="4">
        <f t="shared" si="154"/>
        <v>0</v>
      </c>
      <c r="Y853" s="4">
        <f t="shared" si="155"/>
        <v>0</v>
      </c>
    </row>
    <row r="854" spans="1:25" hidden="1" outlineLevel="1" x14ac:dyDescent="0.35">
      <c r="A854" s="39" t="s">
        <v>2038</v>
      </c>
      <c r="B854" s="39" t="s">
        <v>109</v>
      </c>
      <c r="C854" s="39" t="s">
        <v>2039</v>
      </c>
      <c r="D854" s="39" t="s">
        <v>1112</v>
      </c>
      <c r="E854" s="40" t="s">
        <v>260</v>
      </c>
      <c r="F854" s="39" t="s">
        <v>41</v>
      </c>
      <c r="G854" s="39" t="s">
        <v>110</v>
      </c>
      <c r="H854" s="47">
        <v>0</v>
      </c>
      <c r="I854" s="36">
        <f t="shared" si="149"/>
        <v>0</v>
      </c>
      <c r="J854" s="37">
        <f t="shared" si="147"/>
        <v>0</v>
      </c>
      <c r="K854" s="37">
        <f t="shared" si="148"/>
        <v>0</v>
      </c>
      <c r="M854" s="37">
        <f t="shared" si="150"/>
        <v>0</v>
      </c>
      <c r="O854" s="4">
        <f t="shared" si="151"/>
        <v>0</v>
      </c>
      <c r="Q854" s="4">
        <f t="shared" si="152"/>
        <v>0</v>
      </c>
      <c r="S854" s="4">
        <f t="shared" si="153"/>
        <v>0</v>
      </c>
      <c r="U854" s="4">
        <f t="shared" si="156"/>
        <v>0</v>
      </c>
      <c r="W854" s="4">
        <f t="shared" si="154"/>
        <v>0</v>
      </c>
      <c r="Y854" s="4">
        <f t="shared" si="155"/>
        <v>0</v>
      </c>
    </row>
    <row r="855" spans="1:25" hidden="1" outlineLevel="1" x14ac:dyDescent="0.35">
      <c r="A855" s="39" t="s">
        <v>2040</v>
      </c>
      <c r="B855" s="39" t="s">
        <v>109</v>
      </c>
      <c r="C855" s="39" t="s">
        <v>109</v>
      </c>
      <c r="D855" s="39" t="s">
        <v>1616</v>
      </c>
      <c r="E855" s="40" t="s">
        <v>238</v>
      </c>
      <c r="F855" s="39" t="s">
        <v>41</v>
      </c>
      <c r="G855" s="39" t="s">
        <v>2041</v>
      </c>
      <c r="H855" s="47">
        <v>0</v>
      </c>
      <c r="I855" s="36">
        <f t="shared" si="149"/>
        <v>0</v>
      </c>
      <c r="J855" s="37">
        <f t="shared" si="147"/>
        <v>0</v>
      </c>
      <c r="K855" s="37">
        <f t="shared" si="148"/>
        <v>0</v>
      </c>
      <c r="M855" s="37">
        <f t="shared" si="150"/>
        <v>0</v>
      </c>
      <c r="O855" s="4">
        <f t="shared" si="151"/>
        <v>0</v>
      </c>
      <c r="Q855" s="4">
        <f t="shared" si="152"/>
        <v>0</v>
      </c>
      <c r="S855" s="4">
        <f t="shared" si="153"/>
        <v>0</v>
      </c>
      <c r="U855" s="4">
        <f t="shared" si="156"/>
        <v>0</v>
      </c>
      <c r="W855" s="4">
        <f t="shared" si="154"/>
        <v>0</v>
      </c>
      <c r="Y855" s="4">
        <f t="shared" si="155"/>
        <v>0</v>
      </c>
    </row>
    <row r="856" spans="1:25" hidden="1" outlineLevel="1" x14ac:dyDescent="0.35">
      <c r="A856" s="39" t="s">
        <v>2042</v>
      </c>
      <c r="B856" s="39" t="s">
        <v>109</v>
      </c>
      <c r="C856" s="39" t="s">
        <v>109</v>
      </c>
      <c r="D856" s="39" t="s">
        <v>2043</v>
      </c>
      <c r="E856" s="40" t="s">
        <v>393</v>
      </c>
      <c r="F856" s="39" t="s">
        <v>41</v>
      </c>
      <c r="G856" s="39" t="s">
        <v>110</v>
      </c>
      <c r="H856" s="47">
        <v>0</v>
      </c>
      <c r="I856" s="36">
        <f t="shared" si="149"/>
        <v>0</v>
      </c>
      <c r="J856" s="37">
        <f t="shared" si="147"/>
        <v>0</v>
      </c>
      <c r="K856" s="37">
        <f t="shared" si="148"/>
        <v>0</v>
      </c>
      <c r="M856" s="37">
        <f t="shared" si="150"/>
        <v>0</v>
      </c>
      <c r="O856" s="4">
        <f t="shared" si="151"/>
        <v>0</v>
      </c>
      <c r="Q856" s="4">
        <f t="shared" si="152"/>
        <v>0</v>
      </c>
      <c r="S856" s="4">
        <f t="shared" si="153"/>
        <v>0</v>
      </c>
      <c r="U856" s="4">
        <f t="shared" si="156"/>
        <v>0</v>
      </c>
      <c r="W856" s="4">
        <f t="shared" si="154"/>
        <v>0</v>
      </c>
      <c r="Y856" s="4">
        <f t="shared" si="155"/>
        <v>0</v>
      </c>
    </row>
    <row r="857" spans="1:25" hidden="1" outlineLevel="1" x14ac:dyDescent="0.35">
      <c r="A857" s="39" t="s">
        <v>2044</v>
      </c>
      <c r="B857" s="39" t="s">
        <v>109</v>
      </c>
      <c r="C857" s="39" t="s">
        <v>2045</v>
      </c>
      <c r="D857" s="39" t="s">
        <v>2046</v>
      </c>
      <c r="E857" s="40" t="s">
        <v>196</v>
      </c>
      <c r="F857" s="39" t="s">
        <v>41</v>
      </c>
      <c r="G857" s="39" t="s">
        <v>110</v>
      </c>
      <c r="H857" s="47">
        <v>0</v>
      </c>
      <c r="I857" s="36">
        <f t="shared" si="149"/>
        <v>0</v>
      </c>
      <c r="J857" s="37">
        <f t="shared" si="147"/>
        <v>0</v>
      </c>
      <c r="K857" s="37">
        <f t="shared" si="148"/>
        <v>0</v>
      </c>
      <c r="M857" s="37">
        <f t="shared" si="150"/>
        <v>0</v>
      </c>
      <c r="O857" s="4">
        <f t="shared" si="151"/>
        <v>0</v>
      </c>
      <c r="Q857" s="4">
        <f t="shared" si="152"/>
        <v>0</v>
      </c>
      <c r="S857" s="4">
        <f t="shared" si="153"/>
        <v>0</v>
      </c>
      <c r="U857" s="4">
        <f t="shared" si="156"/>
        <v>0</v>
      </c>
      <c r="W857" s="4">
        <f t="shared" si="154"/>
        <v>0</v>
      </c>
      <c r="Y857" s="4">
        <f t="shared" si="155"/>
        <v>0</v>
      </c>
    </row>
    <row r="858" spans="1:25" hidden="1" outlineLevel="1" x14ac:dyDescent="0.35">
      <c r="A858" s="39" t="s">
        <v>2047</v>
      </c>
      <c r="B858" s="39" t="s">
        <v>109</v>
      </c>
      <c r="C858" s="39" t="s">
        <v>2048</v>
      </c>
      <c r="D858" s="39" t="s">
        <v>2049</v>
      </c>
      <c r="E858" s="40" t="s">
        <v>51</v>
      </c>
      <c r="F858" s="39" t="s">
        <v>41</v>
      </c>
      <c r="G858" s="39" t="s">
        <v>110</v>
      </c>
      <c r="H858" s="47">
        <v>0</v>
      </c>
      <c r="I858" s="36">
        <f t="shared" si="149"/>
        <v>0</v>
      </c>
      <c r="J858" s="37">
        <f t="shared" si="147"/>
        <v>0</v>
      </c>
      <c r="K858" s="37">
        <f t="shared" si="148"/>
        <v>0</v>
      </c>
      <c r="M858" s="37">
        <f t="shared" si="150"/>
        <v>0</v>
      </c>
      <c r="O858" s="4">
        <f t="shared" si="151"/>
        <v>0</v>
      </c>
      <c r="Q858" s="4">
        <f t="shared" si="152"/>
        <v>0</v>
      </c>
      <c r="S858" s="4">
        <f t="shared" si="153"/>
        <v>0</v>
      </c>
      <c r="U858" s="4">
        <f t="shared" si="156"/>
        <v>0</v>
      </c>
      <c r="W858" s="4">
        <f t="shared" si="154"/>
        <v>0</v>
      </c>
      <c r="Y858" s="4">
        <f t="shared" si="155"/>
        <v>0</v>
      </c>
    </row>
    <row r="859" spans="1:25" hidden="1" outlineLevel="1" x14ac:dyDescent="0.35">
      <c r="A859" s="39" t="s">
        <v>2050</v>
      </c>
      <c r="B859" s="39" t="s">
        <v>109</v>
      </c>
      <c r="C859" s="39" t="s">
        <v>2051</v>
      </c>
      <c r="D859" s="39" t="s">
        <v>2052</v>
      </c>
      <c r="E859" s="40" t="s">
        <v>200</v>
      </c>
      <c r="F859" s="39" t="s">
        <v>41</v>
      </c>
      <c r="G859" s="39" t="s">
        <v>2053</v>
      </c>
      <c r="H859" s="47">
        <v>0</v>
      </c>
      <c r="I859" s="36">
        <f t="shared" si="149"/>
        <v>0</v>
      </c>
      <c r="J859" s="37">
        <f t="shared" si="147"/>
        <v>0</v>
      </c>
      <c r="K859" s="37">
        <f t="shared" si="148"/>
        <v>0</v>
      </c>
      <c r="M859" s="37">
        <f t="shared" si="150"/>
        <v>0</v>
      </c>
      <c r="O859" s="4">
        <f t="shared" si="151"/>
        <v>0</v>
      </c>
      <c r="Q859" s="4">
        <f t="shared" si="152"/>
        <v>0</v>
      </c>
      <c r="S859" s="4">
        <f t="shared" si="153"/>
        <v>0</v>
      </c>
      <c r="U859" s="4">
        <f t="shared" si="156"/>
        <v>0</v>
      </c>
      <c r="W859" s="4">
        <f t="shared" si="154"/>
        <v>0</v>
      </c>
      <c r="Y859" s="4">
        <f t="shared" si="155"/>
        <v>0</v>
      </c>
    </row>
    <row r="860" spans="1:25" hidden="1" outlineLevel="1" x14ac:dyDescent="0.35">
      <c r="A860" s="39" t="s">
        <v>2054</v>
      </c>
      <c r="B860" s="39" t="s">
        <v>109</v>
      </c>
      <c r="C860" s="39" t="s">
        <v>109</v>
      </c>
      <c r="D860" s="39" t="s">
        <v>2055</v>
      </c>
      <c r="E860" s="40" t="s">
        <v>2056</v>
      </c>
      <c r="F860" s="39" t="s">
        <v>41</v>
      </c>
      <c r="G860" s="39" t="s">
        <v>110</v>
      </c>
      <c r="H860" s="47">
        <v>0</v>
      </c>
      <c r="I860" s="36">
        <f t="shared" si="149"/>
        <v>0</v>
      </c>
      <c r="J860" s="37">
        <f t="shared" si="147"/>
        <v>0</v>
      </c>
      <c r="K860" s="37">
        <f t="shared" si="148"/>
        <v>0</v>
      </c>
      <c r="M860" s="37">
        <f t="shared" si="150"/>
        <v>0</v>
      </c>
      <c r="O860" s="4">
        <f t="shared" si="151"/>
        <v>0</v>
      </c>
      <c r="Q860" s="4">
        <f t="shared" si="152"/>
        <v>0</v>
      </c>
      <c r="S860" s="4">
        <f t="shared" si="153"/>
        <v>0</v>
      </c>
      <c r="U860" s="4">
        <f t="shared" si="156"/>
        <v>0</v>
      </c>
      <c r="W860" s="4">
        <f t="shared" si="154"/>
        <v>0</v>
      </c>
      <c r="Y860" s="4">
        <f t="shared" si="155"/>
        <v>0</v>
      </c>
    </row>
    <row r="861" spans="1:25" hidden="1" outlineLevel="1" x14ac:dyDescent="0.35">
      <c r="A861" s="39" t="s">
        <v>2057</v>
      </c>
      <c r="B861" s="39" t="s">
        <v>109</v>
      </c>
      <c r="C861" s="39" t="s">
        <v>109</v>
      </c>
      <c r="D861" s="39" t="s">
        <v>2058</v>
      </c>
      <c r="E861" s="40" t="s">
        <v>114</v>
      </c>
      <c r="F861" s="39" t="s">
        <v>41</v>
      </c>
      <c r="G861" s="39" t="s">
        <v>110</v>
      </c>
      <c r="H861" s="47">
        <v>0</v>
      </c>
      <c r="I861" s="36">
        <f t="shared" si="149"/>
        <v>0</v>
      </c>
      <c r="J861" s="37">
        <f t="shared" si="147"/>
        <v>0</v>
      </c>
      <c r="K861" s="37">
        <f t="shared" si="148"/>
        <v>0</v>
      </c>
      <c r="M861" s="37">
        <f t="shared" si="150"/>
        <v>0</v>
      </c>
      <c r="O861" s="4">
        <f t="shared" si="151"/>
        <v>0</v>
      </c>
      <c r="Q861" s="4">
        <f t="shared" si="152"/>
        <v>0</v>
      </c>
      <c r="S861" s="4">
        <f t="shared" si="153"/>
        <v>0</v>
      </c>
      <c r="U861" s="4">
        <f t="shared" si="156"/>
        <v>0</v>
      </c>
      <c r="W861" s="4">
        <f t="shared" si="154"/>
        <v>0</v>
      </c>
      <c r="Y861" s="4">
        <f t="shared" si="155"/>
        <v>0</v>
      </c>
    </row>
    <row r="862" spans="1:25" hidden="1" outlineLevel="1" x14ac:dyDescent="0.35">
      <c r="A862" s="39" t="s">
        <v>959</v>
      </c>
      <c r="B862" s="39" t="s">
        <v>109</v>
      </c>
      <c r="C862" s="39" t="s">
        <v>109</v>
      </c>
      <c r="D862" s="39" t="s">
        <v>366</v>
      </c>
      <c r="E862" s="40" t="s">
        <v>367</v>
      </c>
      <c r="F862" s="39" t="s">
        <v>41</v>
      </c>
      <c r="G862" s="39" t="s">
        <v>110</v>
      </c>
      <c r="H862" s="47">
        <v>0</v>
      </c>
      <c r="I862" s="36">
        <f t="shared" si="149"/>
        <v>0</v>
      </c>
      <c r="J862" s="37">
        <f t="shared" si="147"/>
        <v>0</v>
      </c>
      <c r="K862" s="37">
        <f t="shared" si="148"/>
        <v>0</v>
      </c>
      <c r="M862" s="37">
        <f t="shared" si="150"/>
        <v>0</v>
      </c>
      <c r="O862" s="4">
        <f t="shared" si="151"/>
        <v>0</v>
      </c>
      <c r="Q862" s="4">
        <f t="shared" si="152"/>
        <v>0</v>
      </c>
      <c r="S862" s="4">
        <f t="shared" si="153"/>
        <v>0</v>
      </c>
      <c r="U862" s="4">
        <f t="shared" si="156"/>
        <v>0</v>
      </c>
      <c r="W862" s="4">
        <f t="shared" si="154"/>
        <v>0</v>
      </c>
      <c r="Y862" s="4">
        <f t="shared" si="155"/>
        <v>0</v>
      </c>
    </row>
    <row r="863" spans="1:25" hidden="1" outlineLevel="1" x14ac:dyDescent="0.35">
      <c r="A863" s="39" t="s">
        <v>2059</v>
      </c>
      <c r="B863" s="39" t="s">
        <v>109</v>
      </c>
      <c r="C863" s="39" t="s">
        <v>109</v>
      </c>
      <c r="D863" s="39" t="s">
        <v>2060</v>
      </c>
      <c r="E863" s="40" t="s">
        <v>2056</v>
      </c>
      <c r="F863" s="39" t="s">
        <v>41</v>
      </c>
      <c r="G863" s="39" t="s">
        <v>110</v>
      </c>
      <c r="H863" s="47">
        <v>0</v>
      </c>
      <c r="I863" s="36">
        <f t="shared" si="149"/>
        <v>0</v>
      </c>
      <c r="J863" s="37">
        <f t="shared" si="147"/>
        <v>0</v>
      </c>
      <c r="K863" s="37">
        <f t="shared" si="148"/>
        <v>0</v>
      </c>
      <c r="M863" s="37">
        <f t="shared" si="150"/>
        <v>0</v>
      </c>
      <c r="O863" s="4">
        <f t="shared" si="151"/>
        <v>0</v>
      </c>
      <c r="Q863" s="4">
        <f t="shared" si="152"/>
        <v>0</v>
      </c>
      <c r="S863" s="4">
        <f t="shared" si="153"/>
        <v>0</v>
      </c>
      <c r="U863" s="4">
        <f t="shared" si="156"/>
        <v>0</v>
      </c>
      <c r="W863" s="4">
        <f t="shared" si="154"/>
        <v>0</v>
      </c>
      <c r="Y863" s="4">
        <f t="shared" si="155"/>
        <v>0</v>
      </c>
    </row>
    <row r="864" spans="1:25" hidden="1" outlineLevel="1" x14ac:dyDescent="0.35">
      <c r="A864" s="39" t="s">
        <v>2061</v>
      </c>
      <c r="B864" s="39" t="s">
        <v>109</v>
      </c>
      <c r="C864" s="39" t="s">
        <v>2062</v>
      </c>
      <c r="D864" s="39" t="s">
        <v>1980</v>
      </c>
      <c r="E864" s="40" t="s">
        <v>70</v>
      </c>
      <c r="F864" s="39" t="s">
        <v>41</v>
      </c>
      <c r="G864" s="39" t="s">
        <v>2063</v>
      </c>
      <c r="H864" s="47">
        <v>0</v>
      </c>
      <c r="I864" s="36">
        <f t="shared" si="149"/>
        <v>0</v>
      </c>
      <c r="J864" s="37">
        <f t="shared" si="147"/>
        <v>0</v>
      </c>
      <c r="K864" s="37">
        <f t="shared" si="148"/>
        <v>0</v>
      </c>
      <c r="M864" s="37">
        <f t="shared" si="150"/>
        <v>0</v>
      </c>
      <c r="O864" s="4">
        <f t="shared" si="151"/>
        <v>0</v>
      </c>
      <c r="Q864" s="4">
        <f t="shared" si="152"/>
        <v>0</v>
      </c>
      <c r="S864" s="4">
        <f t="shared" si="153"/>
        <v>0</v>
      </c>
      <c r="U864" s="4">
        <f t="shared" si="156"/>
        <v>0</v>
      </c>
      <c r="W864" s="4">
        <f t="shared" si="154"/>
        <v>0</v>
      </c>
      <c r="Y864" s="4">
        <f t="shared" si="155"/>
        <v>0</v>
      </c>
    </row>
    <row r="865" spans="1:25" hidden="1" outlineLevel="1" x14ac:dyDescent="0.35">
      <c r="A865" s="39" t="s">
        <v>2064</v>
      </c>
      <c r="B865" s="39" t="s">
        <v>109</v>
      </c>
      <c r="C865" s="39" t="s">
        <v>109</v>
      </c>
      <c r="D865" s="39" t="s">
        <v>1284</v>
      </c>
      <c r="E865" s="40" t="s">
        <v>165</v>
      </c>
      <c r="F865" s="39" t="s">
        <v>41</v>
      </c>
      <c r="G865" s="39" t="s">
        <v>110</v>
      </c>
      <c r="H865" s="47">
        <v>0</v>
      </c>
      <c r="I865" s="36">
        <f t="shared" si="149"/>
        <v>0</v>
      </c>
      <c r="J865" s="37">
        <f t="shared" si="147"/>
        <v>0</v>
      </c>
      <c r="K865" s="37">
        <f t="shared" si="148"/>
        <v>0</v>
      </c>
      <c r="M865" s="37">
        <f t="shared" si="150"/>
        <v>0</v>
      </c>
      <c r="O865" s="4">
        <f t="shared" si="151"/>
        <v>0</v>
      </c>
      <c r="Q865" s="4">
        <f t="shared" si="152"/>
        <v>0</v>
      </c>
      <c r="S865" s="4">
        <f t="shared" si="153"/>
        <v>0</v>
      </c>
      <c r="U865" s="4">
        <f t="shared" si="156"/>
        <v>0</v>
      </c>
      <c r="W865" s="4">
        <f t="shared" si="154"/>
        <v>0</v>
      </c>
      <c r="Y865" s="4">
        <f t="shared" si="155"/>
        <v>0</v>
      </c>
    </row>
    <row r="866" spans="1:25" hidden="1" outlineLevel="1" x14ac:dyDescent="0.35">
      <c r="A866" s="39" t="s">
        <v>2065</v>
      </c>
      <c r="B866" s="39" t="s">
        <v>109</v>
      </c>
      <c r="C866" s="39" t="s">
        <v>2066</v>
      </c>
      <c r="D866" s="39" t="s">
        <v>2067</v>
      </c>
      <c r="E866" s="40" t="s">
        <v>51</v>
      </c>
      <c r="F866" s="39" t="s">
        <v>41</v>
      </c>
      <c r="G866" s="39" t="s">
        <v>2068</v>
      </c>
      <c r="H866" s="47">
        <v>0</v>
      </c>
      <c r="I866" s="36">
        <f t="shared" si="149"/>
        <v>0</v>
      </c>
      <c r="J866" s="37">
        <f t="shared" si="147"/>
        <v>0</v>
      </c>
      <c r="K866" s="37">
        <f t="shared" si="148"/>
        <v>0</v>
      </c>
      <c r="M866" s="37">
        <f t="shared" si="150"/>
        <v>0</v>
      </c>
      <c r="O866" s="4">
        <f t="shared" si="151"/>
        <v>0</v>
      </c>
      <c r="Q866" s="4">
        <f t="shared" si="152"/>
        <v>0</v>
      </c>
      <c r="S866" s="4">
        <f t="shared" si="153"/>
        <v>0</v>
      </c>
      <c r="U866" s="4">
        <f t="shared" si="156"/>
        <v>0</v>
      </c>
      <c r="W866" s="4">
        <f t="shared" si="154"/>
        <v>0</v>
      </c>
      <c r="Y866" s="4">
        <f t="shared" si="155"/>
        <v>0</v>
      </c>
    </row>
    <row r="867" spans="1:25" hidden="1" outlineLevel="1" x14ac:dyDescent="0.35">
      <c r="A867" s="39" t="s">
        <v>2069</v>
      </c>
      <c r="B867" s="39" t="s">
        <v>109</v>
      </c>
      <c r="C867" s="39" t="s">
        <v>109</v>
      </c>
      <c r="D867" s="39" t="s">
        <v>2070</v>
      </c>
      <c r="E867" s="40" t="s">
        <v>246</v>
      </c>
      <c r="F867" s="39" t="s">
        <v>41</v>
      </c>
      <c r="G867" s="39" t="s">
        <v>110</v>
      </c>
      <c r="H867" s="47">
        <v>0</v>
      </c>
      <c r="I867" s="36">
        <f t="shared" si="149"/>
        <v>0</v>
      </c>
      <c r="J867" s="37">
        <f t="shared" si="147"/>
        <v>0</v>
      </c>
      <c r="K867" s="37">
        <f t="shared" si="148"/>
        <v>0</v>
      </c>
      <c r="M867" s="37">
        <f t="shared" si="150"/>
        <v>0</v>
      </c>
      <c r="O867" s="4">
        <f t="shared" si="151"/>
        <v>0</v>
      </c>
      <c r="Q867" s="4">
        <f t="shared" si="152"/>
        <v>0</v>
      </c>
      <c r="S867" s="4">
        <f t="shared" si="153"/>
        <v>0</v>
      </c>
      <c r="U867" s="4">
        <f t="shared" si="156"/>
        <v>0</v>
      </c>
      <c r="W867" s="4">
        <f t="shared" si="154"/>
        <v>0</v>
      </c>
      <c r="Y867" s="4">
        <f t="shared" si="155"/>
        <v>0</v>
      </c>
    </row>
    <row r="868" spans="1:25" hidden="1" outlineLevel="1" x14ac:dyDescent="0.35">
      <c r="A868" s="39" t="s">
        <v>2071</v>
      </c>
      <c r="B868" s="39" t="s">
        <v>109</v>
      </c>
      <c r="C868" s="39" t="s">
        <v>109</v>
      </c>
      <c r="D868" s="39" t="s">
        <v>2072</v>
      </c>
      <c r="E868" s="40" t="s">
        <v>66</v>
      </c>
      <c r="F868" s="39" t="s">
        <v>41</v>
      </c>
      <c r="G868" s="39" t="s">
        <v>110</v>
      </c>
      <c r="H868" s="47">
        <v>0</v>
      </c>
      <c r="I868" s="36">
        <f t="shared" si="149"/>
        <v>0</v>
      </c>
      <c r="J868" s="37">
        <f t="shared" si="147"/>
        <v>0</v>
      </c>
      <c r="K868" s="37">
        <f t="shared" si="148"/>
        <v>0</v>
      </c>
      <c r="M868" s="37">
        <f t="shared" si="150"/>
        <v>0</v>
      </c>
      <c r="O868" s="4">
        <f t="shared" si="151"/>
        <v>0</v>
      </c>
      <c r="Q868" s="4">
        <f t="shared" si="152"/>
        <v>0</v>
      </c>
      <c r="S868" s="4">
        <f t="shared" si="153"/>
        <v>0</v>
      </c>
      <c r="U868" s="4">
        <f t="shared" si="156"/>
        <v>0</v>
      </c>
      <c r="W868" s="4">
        <f t="shared" si="154"/>
        <v>0</v>
      </c>
      <c r="Y868" s="4">
        <f t="shared" si="155"/>
        <v>0</v>
      </c>
    </row>
    <row r="869" spans="1:25" hidden="1" outlineLevel="1" x14ac:dyDescent="0.35">
      <c r="A869" s="39" t="s">
        <v>2073</v>
      </c>
      <c r="B869" s="39" t="s">
        <v>109</v>
      </c>
      <c r="C869" s="39" t="s">
        <v>2074</v>
      </c>
      <c r="D869" s="39" t="s">
        <v>2075</v>
      </c>
      <c r="E869" s="40" t="s">
        <v>1166</v>
      </c>
      <c r="F869" s="39" t="s">
        <v>41</v>
      </c>
      <c r="G869" s="39" t="s">
        <v>110</v>
      </c>
      <c r="H869" s="47">
        <v>0</v>
      </c>
      <c r="I869" s="36">
        <f t="shared" si="149"/>
        <v>0</v>
      </c>
      <c r="J869" s="37">
        <f t="shared" si="147"/>
        <v>0</v>
      </c>
      <c r="K869" s="37">
        <f t="shared" si="148"/>
        <v>0</v>
      </c>
      <c r="M869" s="37">
        <f t="shared" si="150"/>
        <v>0</v>
      </c>
      <c r="O869" s="4">
        <f t="shared" si="151"/>
        <v>0</v>
      </c>
      <c r="Q869" s="4">
        <f t="shared" si="152"/>
        <v>0</v>
      </c>
      <c r="S869" s="4">
        <f t="shared" si="153"/>
        <v>0</v>
      </c>
      <c r="U869" s="4">
        <f t="shared" si="156"/>
        <v>0</v>
      </c>
      <c r="W869" s="4">
        <f t="shared" si="154"/>
        <v>0</v>
      </c>
      <c r="Y869" s="4">
        <f t="shared" si="155"/>
        <v>0</v>
      </c>
    </row>
    <row r="870" spans="1:25" hidden="1" outlineLevel="1" x14ac:dyDescent="0.35">
      <c r="A870" s="39" t="s">
        <v>2076</v>
      </c>
      <c r="B870" s="39" t="s">
        <v>109</v>
      </c>
      <c r="C870" s="39" t="s">
        <v>367</v>
      </c>
      <c r="D870" s="39" t="s">
        <v>2077</v>
      </c>
      <c r="E870" s="40" t="s">
        <v>165</v>
      </c>
      <c r="F870" s="39" t="s">
        <v>41</v>
      </c>
      <c r="G870" s="39" t="s">
        <v>110</v>
      </c>
      <c r="H870" s="47">
        <v>0</v>
      </c>
      <c r="I870" s="36">
        <f t="shared" si="149"/>
        <v>0</v>
      </c>
      <c r="J870" s="37">
        <f t="shared" si="147"/>
        <v>0</v>
      </c>
      <c r="K870" s="37">
        <f t="shared" si="148"/>
        <v>0</v>
      </c>
      <c r="M870" s="37">
        <f t="shared" si="150"/>
        <v>0</v>
      </c>
      <c r="O870" s="4">
        <f t="shared" si="151"/>
        <v>0</v>
      </c>
      <c r="Q870" s="4">
        <f t="shared" si="152"/>
        <v>0</v>
      </c>
      <c r="S870" s="4">
        <f t="shared" si="153"/>
        <v>0</v>
      </c>
      <c r="U870" s="4">
        <f t="shared" si="156"/>
        <v>0</v>
      </c>
      <c r="W870" s="4">
        <f t="shared" si="154"/>
        <v>0</v>
      </c>
      <c r="Y870" s="4">
        <f t="shared" si="155"/>
        <v>0</v>
      </c>
    </row>
    <row r="871" spans="1:25" hidden="1" outlineLevel="1" x14ac:dyDescent="0.35">
      <c r="A871" s="39" t="s">
        <v>2078</v>
      </c>
      <c r="B871" s="39" t="s">
        <v>109</v>
      </c>
      <c r="C871" s="39" t="s">
        <v>109</v>
      </c>
      <c r="D871" s="39" t="s">
        <v>660</v>
      </c>
      <c r="E871" s="40" t="s">
        <v>226</v>
      </c>
      <c r="F871" s="39" t="s">
        <v>41</v>
      </c>
      <c r="G871" s="39" t="s">
        <v>110</v>
      </c>
      <c r="H871" s="47">
        <v>0</v>
      </c>
      <c r="I871" s="36">
        <f t="shared" si="149"/>
        <v>0</v>
      </c>
      <c r="J871" s="37">
        <f t="shared" si="147"/>
        <v>0</v>
      </c>
      <c r="K871" s="37">
        <f t="shared" si="148"/>
        <v>0</v>
      </c>
      <c r="M871" s="37">
        <f t="shared" si="150"/>
        <v>0</v>
      </c>
      <c r="O871" s="4">
        <f t="shared" si="151"/>
        <v>0</v>
      </c>
      <c r="Q871" s="4">
        <f t="shared" si="152"/>
        <v>0</v>
      </c>
      <c r="S871" s="4">
        <f t="shared" si="153"/>
        <v>0</v>
      </c>
      <c r="U871" s="4">
        <f t="shared" si="156"/>
        <v>0</v>
      </c>
      <c r="W871" s="4">
        <f t="shared" si="154"/>
        <v>0</v>
      </c>
      <c r="Y871" s="4">
        <f t="shared" si="155"/>
        <v>0</v>
      </c>
    </row>
    <row r="872" spans="1:25" hidden="1" outlineLevel="1" x14ac:dyDescent="0.35">
      <c r="A872" s="39" t="s">
        <v>2079</v>
      </c>
      <c r="B872" s="39" t="s">
        <v>109</v>
      </c>
      <c r="C872" s="39" t="s">
        <v>109</v>
      </c>
      <c r="D872" s="39" t="s">
        <v>2080</v>
      </c>
      <c r="E872" s="40" t="s">
        <v>70</v>
      </c>
      <c r="F872" s="39" t="s">
        <v>41</v>
      </c>
      <c r="G872" s="39" t="s">
        <v>110</v>
      </c>
      <c r="H872" s="47">
        <v>0</v>
      </c>
      <c r="I872" s="36">
        <f t="shared" si="149"/>
        <v>0</v>
      </c>
      <c r="J872" s="37">
        <f t="shared" si="147"/>
        <v>0</v>
      </c>
      <c r="K872" s="37">
        <f t="shared" si="148"/>
        <v>0</v>
      </c>
      <c r="M872" s="37">
        <f t="shared" si="150"/>
        <v>0</v>
      </c>
      <c r="O872" s="4">
        <f t="shared" si="151"/>
        <v>0</v>
      </c>
      <c r="Q872" s="4">
        <f t="shared" si="152"/>
        <v>0</v>
      </c>
      <c r="S872" s="4">
        <f t="shared" si="153"/>
        <v>0</v>
      </c>
      <c r="U872" s="4">
        <f t="shared" si="156"/>
        <v>0</v>
      </c>
      <c r="W872" s="4">
        <f t="shared" si="154"/>
        <v>0</v>
      </c>
      <c r="Y872" s="4">
        <f t="shared" si="155"/>
        <v>0</v>
      </c>
    </row>
    <row r="873" spans="1:25" hidden="1" outlineLevel="1" x14ac:dyDescent="0.35">
      <c r="A873" s="39" t="s">
        <v>1346</v>
      </c>
      <c r="B873" s="39" t="s">
        <v>109</v>
      </c>
      <c r="C873" s="39" t="s">
        <v>109</v>
      </c>
      <c r="D873" s="39" t="s">
        <v>1219</v>
      </c>
      <c r="E873" s="40" t="s">
        <v>302</v>
      </c>
      <c r="F873" s="39" t="s">
        <v>41</v>
      </c>
      <c r="G873" s="39" t="s">
        <v>1220</v>
      </c>
      <c r="H873" s="47">
        <v>0</v>
      </c>
      <c r="I873" s="36">
        <f t="shared" si="149"/>
        <v>0</v>
      </c>
      <c r="J873" s="37">
        <f t="shared" si="147"/>
        <v>0</v>
      </c>
      <c r="K873" s="37">
        <f t="shared" si="148"/>
        <v>0</v>
      </c>
      <c r="M873" s="37">
        <f t="shared" si="150"/>
        <v>0</v>
      </c>
      <c r="O873" s="4">
        <f t="shared" si="151"/>
        <v>0</v>
      </c>
      <c r="Q873" s="4">
        <f t="shared" si="152"/>
        <v>0</v>
      </c>
      <c r="S873" s="4">
        <f t="shared" si="153"/>
        <v>0</v>
      </c>
      <c r="U873" s="4">
        <f t="shared" si="156"/>
        <v>0</v>
      </c>
      <c r="W873" s="4">
        <f t="shared" si="154"/>
        <v>0</v>
      </c>
      <c r="Y873" s="4">
        <f t="shared" si="155"/>
        <v>0</v>
      </c>
    </row>
    <row r="874" spans="1:25" hidden="1" outlineLevel="1" x14ac:dyDescent="0.35">
      <c r="A874" s="39" t="s">
        <v>2081</v>
      </c>
      <c r="B874" s="39" t="s">
        <v>109</v>
      </c>
      <c r="C874" s="39" t="s">
        <v>109</v>
      </c>
      <c r="D874" s="39" t="s">
        <v>2082</v>
      </c>
      <c r="E874" s="40" t="s">
        <v>745</v>
      </c>
      <c r="F874" s="39" t="s">
        <v>41</v>
      </c>
      <c r="G874" s="39" t="s">
        <v>110</v>
      </c>
      <c r="H874" s="47">
        <v>0</v>
      </c>
      <c r="I874" s="36">
        <f t="shared" si="149"/>
        <v>0</v>
      </c>
      <c r="J874" s="37">
        <f t="shared" si="147"/>
        <v>0</v>
      </c>
      <c r="K874" s="37">
        <f t="shared" si="148"/>
        <v>0</v>
      </c>
      <c r="M874" s="37">
        <f t="shared" si="150"/>
        <v>0</v>
      </c>
      <c r="O874" s="4">
        <f t="shared" si="151"/>
        <v>0</v>
      </c>
      <c r="Q874" s="4">
        <f t="shared" si="152"/>
        <v>0</v>
      </c>
      <c r="S874" s="4">
        <f t="shared" si="153"/>
        <v>0</v>
      </c>
      <c r="U874" s="4">
        <f t="shared" si="156"/>
        <v>0</v>
      </c>
      <c r="W874" s="4">
        <f t="shared" si="154"/>
        <v>0</v>
      </c>
      <c r="Y874" s="4">
        <f t="shared" si="155"/>
        <v>0</v>
      </c>
    </row>
    <row r="875" spans="1:25" hidden="1" outlineLevel="1" x14ac:dyDescent="0.35">
      <c r="A875" s="39" t="s">
        <v>2083</v>
      </c>
      <c r="B875" s="39" t="s">
        <v>109</v>
      </c>
      <c r="C875" s="39" t="s">
        <v>2084</v>
      </c>
      <c r="D875" s="39" t="s">
        <v>2085</v>
      </c>
      <c r="E875" s="40" t="s">
        <v>1166</v>
      </c>
      <c r="F875" s="39" t="s">
        <v>41</v>
      </c>
      <c r="G875" s="39" t="s">
        <v>2086</v>
      </c>
      <c r="H875" s="47">
        <v>0</v>
      </c>
      <c r="I875" s="36">
        <f t="shared" si="149"/>
        <v>0</v>
      </c>
      <c r="J875" s="37">
        <f t="shared" si="147"/>
        <v>0</v>
      </c>
      <c r="K875" s="37">
        <f t="shared" si="148"/>
        <v>0</v>
      </c>
      <c r="M875" s="37">
        <f t="shared" si="150"/>
        <v>0</v>
      </c>
      <c r="O875" s="4">
        <f t="shared" si="151"/>
        <v>0</v>
      </c>
      <c r="Q875" s="4">
        <f t="shared" si="152"/>
        <v>0</v>
      </c>
      <c r="S875" s="4">
        <f t="shared" si="153"/>
        <v>0</v>
      </c>
      <c r="U875" s="4">
        <f t="shared" si="156"/>
        <v>0</v>
      </c>
      <c r="W875" s="4">
        <f t="shared" si="154"/>
        <v>0</v>
      </c>
      <c r="Y875" s="4">
        <f t="shared" si="155"/>
        <v>0</v>
      </c>
    </row>
    <row r="876" spans="1:25" hidden="1" outlineLevel="1" x14ac:dyDescent="0.35">
      <c r="A876" s="39" t="s">
        <v>2087</v>
      </c>
      <c r="B876" s="39" t="s">
        <v>109</v>
      </c>
      <c r="C876" s="39" t="s">
        <v>109</v>
      </c>
      <c r="D876" s="39" t="s">
        <v>2088</v>
      </c>
      <c r="E876" s="40" t="s">
        <v>260</v>
      </c>
      <c r="F876" s="39" t="s">
        <v>41</v>
      </c>
      <c r="G876" s="39" t="s">
        <v>110</v>
      </c>
      <c r="H876" s="47">
        <v>0</v>
      </c>
      <c r="I876" s="36">
        <f t="shared" si="149"/>
        <v>0</v>
      </c>
      <c r="J876" s="37">
        <f t="shared" ref="J876:J939" si="157">H876*$F$7</f>
        <v>0</v>
      </c>
      <c r="K876" s="37">
        <f t="shared" ref="K876:K939" si="158">H876*$G$7</f>
        <v>0</v>
      </c>
      <c r="M876" s="37">
        <f t="shared" si="150"/>
        <v>0</v>
      </c>
      <c r="O876" s="4">
        <f t="shared" si="151"/>
        <v>0</v>
      </c>
      <c r="Q876" s="4">
        <f t="shared" si="152"/>
        <v>0</v>
      </c>
      <c r="S876" s="4">
        <f t="shared" si="153"/>
        <v>0</v>
      </c>
      <c r="U876" s="4">
        <f t="shared" si="156"/>
        <v>0</v>
      </c>
      <c r="W876" s="4">
        <f t="shared" si="154"/>
        <v>0</v>
      </c>
      <c r="Y876" s="4">
        <f t="shared" si="155"/>
        <v>0</v>
      </c>
    </row>
    <row r="877" spans="1:25" hidden="1" outlineLevel="1" x14ac:dyDescent="0.35">
      <c r="A877" s="39" t="s">
        <v>2089</v>
      </c>
      <c r="B877" s="39" t="s">
        <v>109</v>
      </c>
      <c r="C877" s="39" t="s">
        <v>109</v>
      </c>
      <c r="D877" s="39" t="s">
        <v>774</v>
      </c>
      <c r="E877" s="40" t="s">
        <v>251</v>
      </c>
      <c r="F877" s="39" t="s">
        <v>41</v>
      </c>
      <c r="G877" s="39" t="s">
        <v>110</v>
      </c>
      <c r="H877" s="47">
        <v>0</v>
      </c>
      <c r="I877" s="36">
        <f t="shared" ref="I877:I940" si="159">$E$7*H877</f>
        <v>0</v>
      </c>
      <c r="J877" s="37">
        <f t="shared" si="157"/>
        <v>0</v>
      </c>
      <c r="K877" s="37">
        <f t="shared" si="158"/>
        <v>0</v>
      </c>
      <c r="M877" s="37">
        <f t="shared" ref="M877:M940" si="160">0.5*(AVERAGE(J877:K877))</f>
        <v>0</v>
      </c>
      <c r="O877" s="4">
        <f t="shared" ref="O877:O940" si="161">I877*$E$3</f>
        <v>0</v>
      </c>
      <c r="Q877" s="4">
        <f t="shared" ref="Q877:Q940" si="162">I877*$E$3/12</f>
        <v>0</v>
      </c>
      <c r="S877" s="4">
        <f t="shared" ref="S877:S940" si="163">Q877*$E$4</f>
        <v>0</v>
      </c>
      <c r="U877" s="4">
        <f t="shared" si="156"/>
        <v>0</v>
      </c>
      <c r="W877" s="4">
        <f t="shared" ref="W877:W940" si="164">S877*$E$5</f>
        <v>0</v>
      </c>
      <c r="Y877" s="4">
        <f t="shared" ref="Y877:Y940" si="165">M877*$E$6</f>
        <v>0</v>
      </c>
    </row>
    <row r="878" spans="1:25" hidden="1" outlineLevel="1" x14ac:dyDescent="0.35">
      <c r="A878" s="39" t="s">
        <v>2090</v>
      </c>
      <c r="B878" s="39" t="s">
        <v>109</v>
      </c>
      <c r="C878" s="39" t="s">
        <v>109</v>
      </c>
      <c r="D878" s="39" t="s">
        <v>2091</v>
      </c>
      <c r="E878" s="40" t="s">
        <v>1018</v>
      </c>
      <c r="F878" s="39" t="s">
        <v>41</v>
      </c>
      <c r="G878" s="39" t="s">
        <v>110</v>
      </c>
      <c r="H878" s="47">
        <v>0</v>
      </c>
      <c r="I878" s="36">
        <f t="shared" si="159"/>
        <v>0</v>
      </c>
      <c r="J878" s="37">
        <f t="shared" si="157"/>
        <v>0</v>
      </c>
      <c r="K878" s="37">
        <f t="shared" si="158"/>
        <v>0</v>
      </c>
      <c r="M878" s="37">
        <f t="shared" si="160"/>
        <v>0</v>
      </c>
      <c r="O878" s="4">
        <f t="shared" si="161"/>
        <v>0</v>
      </c>
      <c r="Q878" s="4">
        <f t="shared" si="162"/>
        <v>0</v>
      </c>
      <c r="S878" s="4">
        <f t="shared" si="163"/>
        <v>0</v>
      </c>
      <c r="U878" s="4">
        <f t="shared" ref="U878:U941" si="166">W878*12</f>
        <v>0</v>
      </c>
      <c r="W878" s="4">
        <f t="shared" si="164"/>
        <v>0</v>
      </c>
      <c r="Y878" s="4">
        <f t="shared" si="165"/>
        <v>0</v>
      </c>
    </row>
    <row r="879" spans="1:25" hidden="1" outlineLevel="1" x14ac:dyDescent="0.35">
      <c r="A879" s="39" t="s">
        <v>2092</v>
      </c>
      <c r="B879" s="39" t="s">
        <v>109</v>
      </c>
      <c r="C879" s="39" t="s">
        <v>109</v>
      </c>
      <c r="D879" s="39" t="s">
        <v>109</v>
      </c>
      <c r="E879" s="40" t="s">
        <v>109</v>
      </c>
      <c r="F879" s="39" t="s">
        <v>41</v>
      </c>
      <c r="G879" s="39" t="s">
        <v>110</v>
      </c>
      <c r="H879" s="47">
        <v>0</v>
      </c>
      <c r="I879" s="36">
        <f t="shared" si="159"/>
        <v>0</v>
      </c>
      <c r="J879" s="37">
        <f t="shared" si="157"/>
        <v>0</v>
      </c>
      <c r="K879" s="37">
        <f t="shared" si="158"/>
        <v>0</v>
      </c>
      <c r="M879" s="37">
        <f t="shared" si="160"/>
        <v>0</v>
      </c>
      <c r="O879" s="4">
        <f t="shared" si="161"/>
        <v>0</v>
      </c>
      <c r="Q879" s="4">
        <f t="shared" si="162"/>
        <v>0</v>
      </c>
      <c r="S879" s="4">
        <f t="shared" si="163"/>
        <v>0</v>
      </c>
      <c r="U879" s="4">
        <f t="shared" si="166"/>
        <v>0</v>
      </c>
      <c r="W879" s="4">
        <f t="shared" si="164"/>
        <v>0</v>
      </c>
      <c r="Y879" s="4">
        <f t="shared" si="165"/>
        <v>0</v>
      </c>
    </row>
    <row r="880" spans="1:25" hidden="1" outlineLevel="1" x14ac:dyDescent="0.35">
      <c r="A880" s="39" t="s">
        <v>2093</v>
      </c>
      <c r="B880" s="39" t="s">
        <v>109</v>
      </c>
      <c r="C880" s="39" t="s">
        <v>109</v>
      </c>
      <c r="D880" s="39" t="s">
        <v>2094</v>
      </c>
      <c r="E880" s="40" t="s">
        <v>70</v>
      </c>
      <c r="F880" s="39" t="s">
        <v>41</v>
      </c>
      <c r="G880" s="39" t="s">
        <v>2095</v>
      </c>
      <c r="H880" s="47">
        <v>0</v>
      </c>
      <c r="I880" s="36">
        <f t="shared" si="159"/>
        <v>0</v>
      </c>
      <c r="J880" s="37">
        <f t="shared" si="157"/>
        <v>0</v>
      </c>
      <c r="K880" s="37">
        <f t="shared" si="158"/>
        <v>0</v>
      </c>
      <c r="M880" s="37">
        <f t="shared" si="160"/>
        <v>0</v>
      </c>
      <c r="O880" s="4">
        <f t="shared" si="161"/>
        <v>0</v>
      </c>
      <c r="Q880" s="4">
        <f t="shared" si="162"/>
        <v>0</v>
      </c>
      <c r="S880" s="4">
        <f t="shared" si="163"/>
        <v>0</v>
      </c>
      <c r="U880" s="4">
        <f t="shared" si="166"/>
        <v>0</v>
      </c>
      <c r="W880" s="4">
        <f t="shared" si="164"/>
        <v>0</v>
      </c>
      <c r="Y880" s="4">
        <f t="shared" si="165"/>
        <v>0</v>
      </c>
    </row>
    <row r="881" spans="1:25" hidden="1" outlineLevel="1" x14ac:dyDescent="0.35">
      <c r="A881" s="39" t="s">
        <v>2096</v>
      </c>
      <c r="B881" s="39" t="s">
        <v>109</v>
      </c>
      <c r="C881" s="39" t="s">
        <v>109</v>
      </c>
      <c r="D881" s="39" t="s">
        <v>1604</v>
      </c>
      <c r="E881" s="40" t="s">
        <v>146</v>
      </c>
      <c r="F881" s="39" t="s">
        <v>41</v>
      </c>
      <c r="G881" s="39" t="s">
        <v>110</v>
      </c>
      <c r="H881" s="47">
        <v>0</v>
      </c>
      <c r="I881" s="36">
        <f t="shared" si="159"/>
        <v>0</v>
      </c>
      <c r="J881" s="37">
        <f t="shared" si="157"/>
        <v>0</v>
      </c>
      <c r="K881" s="37">
        <f t="shared" si="158"/>
        <v>0</v>
      </c>
      <c r="M881" s="37">
        <f t="shared" si="160"/>
        <v>0</v>
      </c>
      <c r="O881" s="4">
        <f t="shared" si="161"/>
        <v>0</v>
      </c>
      <c r="Q881" s="4">
        <f t="shared" si="162"/>
        <v>0</v>
      </c>
      <c r="S881" s="4">
        <f t="shared" si="163"/>
        <v>0</v>
      </c>
      <c r="U881" s="4">
        <f t="shared" si="166"/>
        <v>0</v>
      </c>
      <c r="W881" s="4">
        <f t="shared" si="164"/>
        <v>0</v>
      </c>
      <c r="Y881" s="4">
        <f t="shared" si="165"/>
        <v>0</v>
      </c>
    </row>
    <row r="882" spans="1:25" hidden="1" outlineLevel="1" x14ac:dyDescent="0.35">
      <c r="A882" s="39" t="s">
        <v>2097</v>
      </c>
      <c r="B882" s="39" t="s">
        <v>109</v>
      </c>
      <c r="C882" s="39" t="s">
        <v>109</v>
      </c>
      <c r="D882" s="39" t="s">
        <v>2088</v>
      </c>
      <c r="E882" s="40" t="s">
        <v>393</v>
      </c>
      <c r="F882" s="39" t="s">
        <v>41</v>
      </c>
      <c r="G882" s="39" t="s">
        <v>110</v>
      </c>
      <c r="H882" s="47">
        <v>0</v>
      </c>
      <c r="I882" s="36">
        <f t="shared" si="159"/>
        <v>0</v>
      </c>
      <c r="J882" s="37">
        <f t="shared" si="157"/>
        <v>0</v>
      </c>
      <c r="K882" s="37">
        <f t="shared" si="158"/>
        <v>0</v>
      </c>
      <c r="M882" s="37">
        <f t="shared" si="160"/>
        <v>0</v>
      </c>
      <c r="O882" s="4">
        <f t="shared" si="161"/>
        <v>0</v>
      </c>
      <c r="Q882" s="4">
        <f t="shared" si="162"/>
        <v>0</v>
      </c>
      <c r="S882" s="4">
        <f t="shared" si="163"/>
        <v>0</v>
      </c>
      <c r="U882" s="4">
        <f t="shared" si="166"/>
        <v>0</v>
      </c>
      <c r="W882" s="4">
        <f t="shared" si="164"/>
        <v>0</v>
      </c>
      <c r="Y882" s="4">
        <f t="shared" si="165"/>
        <v>0</v>
      </c>
    </row>
    <row r="883" spans="1:25" hidden="1" outlineLevel="1" x14ac:dyDescent="0.35">
      <c r="A883" s="39" t="s">
        <v>2098</v>
      </c>
      <c r="B883" s="39" t="s">
        <v>109</v>
      </c>
      <c r="C883" s="39" t="s">
        <v>2099</v>
      </c>
      <c r="D883" s="39" t="s">
        <v>2100</v>
      </c>
      <c r="E883" s="40" t="s">
        <v>452</v>
      </c>
      <c r="F883" s="39" t="s">
        <v>41</v>
      </c>
      <c r="G883" s="39" t="s">
        <v>110</v>
      </c>
      <c r="H883" s="47">
        <v>0</v>
      </c>
      <c r="I883" s="36">
        <f t="shared" si="159"/>
        <v>0</v>
      </c>
      <c r="J883" s="37">
        <f t="shared" si="157"/>
        <v>0</v>
      </c>
      <c r="K883" s="37">
        <f t="shared" si="158"/>
        <v>0</v>
      </c>
      <c r="M883" s="37">
        <f t="shared" si="160"/>
        <v>0</v>
      </c>
      <c r="O883" s="4">
        <f t="shared" si="161"/>
        <v>0</v>
      </c>
      <c r="Q883" s="4">
        <f t="shared" si="162"/>
        <v>0</v>
      </c>
      <c r="S883" s="4">
        <f t="shared" si="163"/>
        <v>0</v>
      </c>
      <c r="U883" s="4">
        <f t="shared" si="166"/>
        <v>0</v>
      </c>
      <c r="W883" s="4">
        <f t="shared" si="164"/>
        <v>0</v>
      </c>
      <c r="Y883" s="4">
        <f t="shared" si="165"/>
        <v>0</v>
      </c>
    </row>
    <row r="884" spans="1:25" hidden="1" outlineLevel="1" x14ac:dyDescent="0.35">
      <c r="A884" s="39" t="s">
        <v>2101</v>
      </c>
      <c r="B884" s="39" t="s">
        <v>109</v>
      </c>
      <c r="C884" s="39" t="s">
        <v>2102</v>
      </c>
      <c r="D884" s="39" t="s">
        <v>485</v>
      </c>
      <c r="E884" s="40" t="s">
        <v>165</v>
      </c>
      <c r="F884" s="39" t="s">
        <v>41</v>
      </c>
      <c r="G884" s="39" t="s">
        <v>110</v>
      </c>
      <c r="H884" s="47">
        <v>0</v>
      </c>
      <c r="I884" s="36">
        <f t="shared" si="159"/>
        <v>0</v>
      </c>
      <c r="J884" s="37">
        <f t="shared" si="157"/>
        <v>0</v>
      </c>
      <c r="K884" s="37">
        <f t="shared" si="158"/>
        <v>0</v>
      </c>
      <c r="M884" s="37">
        <f t="shared" si="160"/>
        <v>0</v>
      </c>
      <c r="O884" s="4">
        <f t="shared" si="161"/>
        <v>0</v>
      </c>
      <c r="Q884" s="4">
        <f t="shared" si="162"/>
        <v>0</v>
      </c>
      <c r="S884" s="4">
        <f t="shared" si="163"/>
        <v>0</v>
      </c>
      <c r="U884" s="4">
        <f t="shared" si="166"/>
        <v>0</v>
      </c>
      <c r="W884" s="4">
        <f t="shared" si="164"/>
        <v>0</v>
      </c>
      <c r="Y884" s="4">
        <f t="shared" si="165"/>
        <v>0</v>
      </c>
    </row>
    <row r="885" spans="1:25" hidden="1" outlineLevel="1" x14ac:dyDescent="0.35">
      <c r="A885" s="39" t="s">
        <v>2103</v>
      </c>
      <c r="B885" s="39" t="s">
        <v>109</v>
      </c>
      <c r="C885" s="39" t="s">
        <v>109</v>
      </c>
      <c r="D885" s="39" t="s">
        <v>2104</v>
      </c>
      <c r="E885" s="40" t="s">
        <v>302</v>
      </c>
      <c r="F885" s="39" t="s">
        <v>41</v>
      </c>
      <c r="G885" s="39" t="s">
        <v>2105</v>
      </c>
      <c r="H885" s="47">
        <v>0</v>
      </c>
      <c r="I885" s="36">
        <f t="shared" si="159"/>
        <v>0</v>
      </c>
      <c r="J885" s="37">
        <f t="shared" si="157"/>
        <v>0</v>
      </c>
      <c r="K885" s="37">
        <f t="shared" si="158"/>
        <v>0</v>
      </c>
      <c r="M885" s="37">
        <f t="shared" si="160"/>
        <v>0</v>
      </c>
      <c r="O885" s="4">
        <f t="shared" si="161"/>
        <v>0</v>
      </c>
      <c r="Q885" s="4">
        <f t="shared" si="162"/>
        <v>0</v>
      </c>
      <c r="S885" s="4">
        <f t="shared" si="163"/>
        <v>0</v>
      </c>
      <c r="U885" s="4">
        <f t="shared" si="166"/>
        <v>0</v>
      </c>
      <c r="W885" s="4">
        <f t="shared" si="164"/>
        <v>0</v>
      </c>
      <c r="Y885" s="4">
        <f t="shared" si="165"/>
        <v>0</v>
      </c>
    </row>
    <row r="886" spans="1:25" hidden="1" outlineLevel="1" x14ac:dyDescent="0.35">
      <c r="A886" s="39" t="s">
        <v>2106</v>
      </c>
      <c r="B886" s="39" t="s">
        <v>109</v>
      </c>
      <c r="C886" s="39" t="s">
        <v>109</v>
      </c>
      <c r="D886" s="39" t="s">
        <v>2107</v>
      </c>
      <c r="E886" s="40" t="s">
        <v>165</v>
      </c>
      <c r="F886" s="39" t="s">
        <v>41</v>
      </c>
      <c r="G886" s="39" t="s">
        <v>110</v>
      </c>
      <c r="H886" s="47">
        <v>0</v>
      </c>
      <c r="I886" s="36">
        <f t="shared" si="159"/>
        <v>0</v>
      </c>
      <c r="J886" s="37">
        <f t="shared" si="157"/>
        <v>0</v>
      </c>
      <c r="K886" s="37">
        <f t="shared" si="158"/>
        <v>0</v>
      </c>
      <c r="M886" s="37">
        <f t="shared" si="160"/>
        <v>0</v>
      </c>
      <c r="O886" s="4">
        <f t="shared" si="161"/>
        <v>0</v>
      </c>
      <c r="Q886" s="4">
        <f t="shared" si="162"/>
        <v>0</v>
      </c>
      <c r="S886" s="4">
        <f t="shared" si="163"/>
        <v>0</v>
      </c>
      <c r="U886" s="4">
        <f t="shared" si="166"/>
        <v>0</v>
      </c>
      <c r="W886" s="4">
        <f t="shared" si="164"/>
        <v>0</v>
      </c>
      <c r="Y886" s="4">
        <f t="shared" si="165"/>
        <v>0</v>
      </c>
    </row>
    <row r="887" spans="1:25" hidden="1" outlineLevel="1" x14ac:dyDescent="0.35">
      <c r="A887" s="39" t="s">
        <v>2108</v>
      </c>
      <c r="B887" s="39" t="s">
        <v>109</v>
      </c>
      <c r="C887" s="39" t="s">
        <v>2109</v>
      </c>
      <c r="D887" s="39" t="s">
        <v>2110</v>
      </c>
      <c r="E887" s="40" t="s">
        <v>146</v>
      </c>
      <c r="F887" s="39" t="s">
        <v>41</v>
      </c>
      <c r="G887" s="39" t="s">
        <v>110</v>
      </c>
      <c r="H887" s="47">
        <v>0</v>
      </c>
      <c r="I887" s="36">
        <f t="shared" si="159"/>
        <v>0</v>
      </c>
      <c r="J887" s="37">
        <f t="shared" si="157"/>
        <v>0</v>
      </c>
      <c r="K887" s="37">
        <f t="shared" si="158"/>
        <v>0</v>
      </c>
      <c r="M887" s="37">
        <f t="shared" si="160"/>
        <v>0</v>
      </c>
      <c r="O887" s="4">
        <f t="shared" si="161"/>
        <v>0</v>
      </c>
      <c r="Q887" s="4">
        <f t="shared" si="162"/>
        <v>0</v>
      </c>
      <c r="S887" s="4">
        <f t="shared" si="163"/>
        <v>0</v>
      </c>
      <c r="U887" s="4">
        <f t="shared" si="166"/>
        <v>0</v>
      </c>
      <c r="W887" s="4">
        <f t="shared" si="164"/>
        <v>0</v>
      </c>
      <c r="Y887" s="4">
        <f t="shared" si="165"/>
        <v>0</v>
      </c>
    </row>
    <row r="888" spans="1:25" hidden="1" outlineLevel="1" x14ac:dyDescent="0.35">
      <c r="A888" s="39" t="s">
        <v>2111</v>
      </c>
      <c r="B888" s="39" t="s">
        <v>109</v>
      </c>
      <c r="C888" s="39" t="s">
        <v>2112</v>
      </c>
      <c r="D888" s="39" t="s">
        <v>2113</v>
      </c>
      <c r="E888" s="40" t="s">
        <v>78</v>
      </c>
      <c r="F888" s="39" t="s">
        <v>41</v>
      </c>
      <c r="G888" s="39" t="s">
        <v>110</v>
      </c>
      <c r="H888" s="47">
        <v>0</v>
      </c>
      <c r="I888" s="36">
        <f t="shared" si="159"/>
        <v>0</v>
      </c>
      <c r="J888" s="37">
        <f t="shared" si="157"/>
        <v>0</v>
      </c>
      <c r="K888" s="37">
        <f t="shared" si="158"/>
        <v>0</v>
      </c>
      <c r="M888" s="37">
        <f t="shared" si="160"/>
        <v>0</v>
      </c>
      <c r="O888" s="4">
        <f t="shared" si="161"/>
        <v>0</v>
      </c>
      <c r="Q888" s="4">
        <f t="shared" si="162"/>
        <v>0</v>
      </c>
      <c r="S888" s="4">
        <f t="shared" si="163"/>
        <v>0</v>
      </c>
      <c r="U888" s="4">
        <f t="shared" si="166"/>
        <v>0</v>
      </c>
      <c r="W888" s="4">
        <f t="shared" si="164"/>
        <v>0</v>
      </c>
      <c r="Y888" s="4">
        <f t="shared" si="165"/>
        <v>0</v>
      </c>
    </row>
    <row r="889" spans="1:25" hidden="1" outlineLevel="1" x14ac:dyDescent="0.35">
      <c r="A889" s="39" t="s">
        <v>2114</v>
      </c>
      <c r="B889" s="39" t="s">
        <v>109</v>
      </c>
      <c r="C889" s="39" t="s">
        <v>109</v>
      </c>
      <c r="D889" s="39" t="s">
        <v>109</v>
      </c>
      <c r="E889" s="40" t="s">
        <v>146</v>
      </c>
      <c r="F889" s="39" t="s">
        <v>41</v>
      </c>
      <c r="G889" s="39" t="s">
        <v>110</v>
      </c>
      <c r="H889" s="47">
        <v>0</v>
      </c>
      <c r="I889" s="36">
        <f t="shared" si="159"/>
        <v>0</v>
      </c>
      <c r="J889" s="37">
        <f t="shared" si="157"/>
        <v>0</v>
      </c>
      <c r="K889" s="37">
        <f t="shared" si="158"/>
        <v>0</v>
      </c>
      <c r="M889" s="37">
        <f t="shared" si="160"/>
        <v>0</v>
      </c>
      <c r="O889" s="4">
        <f t="shared" si="161"/>
        <v>0</v>
      </c>
      <c r="Q889" s="4">
        <f t="shared" si="162"/>
        <v>0</v>
      </c>
      <c r="S889" s="4">
        <f t="shared" si="163"/>
        <v>0</v>
      </c>
      <c r="U889" s="4">
        <f t="shared" si="166"/>
        <v>0</v>
      </c>
      <c r="W889" s="4">
        <f t="shared" si="164"/>
        <v>0</v>
      </c>
      <c r="Y889" s="4">
        <f t="shared" si="165"/>
        <v>0</v>
      </c>
    </row>
    <row r="890" spans="1:25" hidden="1" outlineLevel="1" x14ac:dyDescent="0.35">
      <c r="A890" s="39" t="s">
        <v>2115</v>
      </c>
      <c r="B890" s="39" t="s">
        <v>109</v>
      </c>
      <c r="C890" s="39" t="s">
        <v>109</v>
      </c>
      <c r="D890" s="39" t="s">
        <v>1112</v>
      </c>
      <c r="E890" s="40" t="s">
        <v>538</v>
      </c>
      <c r="F890" s="39" t="s">
        <v>41</v>
      </c>
      <c r="G890" s="39" t="s">
        <v>110</v>
      </c>
      <c r="H890" s="47">
        <v>0</v>
      </c>
      <c r="I890" s="36">
        <f t="shared" si="159"/>
        <v>0</v>
      </c>
      <c r="J890" s="37">
        <f t="shared" si="157"/>
        <v>0</v>
      </c>
      <c r="K890" s="37">
        <f t="shared" si="158"/>
        <v>0</v>
      </c>
      <c r="M890" s="37">
        <f t="shared" si="160"/>
        <v>0</v>
      </c>
      <c r="O890" s="4">
        <f t="shared" si="161"/>
        <v>0</v>
      </c>
      <c r="Q890" s="4">
        <f t="shared" si="162"/>
        <v>0</v>
      </c>
      <c r="S890" s="4">
        <f t="shared" si="163"/>
        <v>0</v>
      </c>
      <c r="U890" s="4">
        <f t="shared" si="166"/>
        <v>0</v>
      </c>
      <c r="W890" s="4">
        <f t="shared" si="164"/>
        <v>0</v>
      </c>
      <c r="Y890" s="4">
        <f t="shared" si="165"/>
        <v>0</v>
      </c>
    </row>
    <row r="891" spans="1:25" hidden="1" outlineLevel="1" x14ac:dyDescent="0.35">
      <c r="A891" s="39" t="s">
        <v>2116</v>
      </c>
      <c r="B891" s="39" t="s">
        <v>109</v>
      </c>
      <c r="C891" s="39" t="s">
        <v>109</v>
      </c>
      <c r="D891" s="39" t="s">
        <v>2117</v>
      </c>
      <c r="E891" s="40" t="s">
        <v>745</v>
      </c>
      <c r="F891" s="39" t="s">
        <v>41</v>
      </c>
      <c r="G891" s="39" t="s">
        <v>2118</v>
      </c>
      <c r="H891" s="47">
        <v>0</v>
      </c>
      <c r="I891" s="36">
        <f t="shared" si="159"/>
        <v>0</v>
      </c>
      <c r="J891" s="37">
        <f t="shared" si="157"/>
        <v>0</v>
      </c>
      <c r="K891" s="37">
        <f t="shared" si="158"/>
        <v>0</v>
      </c>
      <c r="M891" s="37">
        <f t="shared" si="160"/>
        <v>0</v>
      </c>
      <c r="O891" s="4">
        <f t="shared" si="161"/>
        <v>0</v>
      </c>
      <c r="Q891" s="4">
        <f t="shared" si="162"/>
        <v>0</v>
      </c>
      <c r="S891" s="4">
        <f t="shared" si="163"/>
        <v>0</v>
      </c>
      <c r="U891" s="4">
        <f t="shared" si="166"/>
        <v>0</v>
      </c>
      <c r="W891" s="4">
        <f t="shared" si="164"/>
        <v>0</v>
      </c>
      <c r="Y891" s="4">
        <f t="shared" si="165"/>
        <v>0</v>
      </c>
    </row>
    <row r="892" spans="1:25" hidden="1" outlineLevel="1" x14ac:dyDescent="0.35">
      <c r="A892" s="39" t="s">
        <v>2119</v>
      </c>
      <c r="B892" s="39" t="s">
        <v>109</v>
      </c>
      <c r="C892" s="39" t="s">
        <v>109</v>
      </c>
      <c r="D892" s="39" t="s">
        <v>2120</v>
      </c>
      <c r="E892" s="40" t="s">
        <v>538</v>
      </c>
      <c r="F892" s="39" t="s">
        <v>41</v>
      </c>
      <c r="G892" s="39" t="s">
        <v>110</v>
      </c>
      <c r="H892" s="47">
        <v>0</v>
      </c>
      <c r="I892" s="36">
        <f t="shared" si="159"/>
        <v>0</v>
      </c>
      <c r="J892" s="37">
        <f t="shared" si="157"/>
        <v>0</v>
      </c>
      <c r="K892" s="37">
        <f t="shared" si="158"/>
        <v>0</v>
      </c>
      <c r="M892" s="37">
        <f t="shared" si="160"/>
        <v>0</v>
      </c>
      <c r="O892" s="4">
        <f t="shared" si="161"/>
        <v>0</v>
      </c>
      <c r="Q892" s="4">
        <f t="shared" si="162"/>
        <v>0</v>
      </c>
      <c r="S892" s="4">
        <f t="shared" si="163"/>
        <v>0</v>
      </c>
      <c r="U892" s="4">
        <f t="shared" si="166"/>
        <v>0</v>
      </c>
      <c r="W892" s="4">
        <f t="shared" si="164"/>
        <v>0</v>
      </c>
      <c r="Y892" s="4">
        <f t="shared" si="165"/>
        <v>0</v>
      </c>
    </row>
    <row r="893" spans="1:25" hidden="1" outlineLevel="1" x14ac:dyDescent="0.35">
      <c r="A893" s="39" t="s">
        <v>2121</v>
      </c>
      <c r="B893" s="39" t="s">
        <v>109</v>
      </c>
      <c r="C893" s="39" t="s">
        <v>109</v>
      </c>
      <c r="D893" s="39" t="s">
        <v>2122</v>
      </c>
      <c r="E893" s="40" t="s">
        <v>552</v>
      </c>
      <c r="F893" s="39" t="s">
        <v>41</v>
      </c>
      <c r="G893" s="39" t="s">
        <v>110</v>
      </c>
      <c r="H893" s="47">
        <v>0</v>
      </c>
      <c r="I893" s="36">
        <f t="shared" si="159"/>
        <v>0</v>
      </c>
      <c r="J893" s="37">
        <f t="shared" si="157"/>
        <v>0</v>
      </c>
      <c r="K893" s="37">
        <f t="shared" si="158"/>
        <v>0</v>
      </c>
      <c r="M893" s="37">
        <f t="shared" si="160"/>
        <v>0</v>
      </c>
      <c r="O893" s="4">
        <f t="shared" si="161"/>
        <v>0</v>
      </c>
      <c r="Q893" s="4">
        <f t="shared" si="162"/>
        <v>0</v>
      </c>
      <c r="S893" s="4">
        <f t="shared" si="163"/>
        <v>0</v>
      </c>
      <c r="U893" s="4">
        <f t="shared" si="166"/>
        <v>0</v>
      </c>
      <c r="W893" s="4">
        <f t="shared" si="164"/>
        <v>0</v>
      </c>
      <c r="Y893" s="4">
        <f t="shared" si="165"/>
        <v>0</v>
      </c>
    </row>
    <row r="894" spans="1:25" hidden="1" outlineLevel="1" x14ac:dyDescent="0.35">
      <c r="A894" s="39" t="s">
        <v>2123</v>
      </c>
      <c r="B894" s="39" t="s">
        <v>109</v>
      </c>
      <c r="C894" s="39" t="s">
        <v>2124</v>
      </c>
      <c r="D894" s="39" t="s">
        <v>145</v>
      </c>
      <c r="E894" s="40" t="s">
        <v>146</v>
      </c>
      <c r="F894" s="39" t="s">
        <v>41</v>
      </c>
      <c r="G894" s="39" t="s">
        <v>2125</v>
      </c>
      <c r="H894" s="47">
        <v>0</v>
      </c>
      <c r="I894" s="36">
        <f t="shared" si="159"/>
        <v>0</v>
      </c>
      <c r="J894" s="37">
        <f t="shared" si="157"/>
        <v>0</v>
      </c>
      <c r="K894" s="37">
        <f t="shared" si="158"/>
        <v>0</v>
      </c>
      <c r="M894" s="37">
        <f t="shared" si="160"/>
        <v>0</v>
      </c>
      <c r="O894" s="4">
        <f t="shared" si="161"/>
        <v>0</v>
      </c>
      <c r="Q894" s="4">
        <f t="shared" si="162"/>
        <v>0</v>
      </c>
      <c r="S894" s="4">
        <f t="shared" si="163"/>
        <v>0</v>
      </c>
      <c r="U894" s="4">
        <f t="shared" si="166"/>
        <v>0</v>
      </c>
      <c r="W894" s="4">
        <f t="shared" si="164"/>
        <v>0</v>
      </c>
      <c r="Y894" s="4">
        <f t="shared" si="165"/>
        <v>0</v>
      </c>
    </row>
    <row r="895" spans="1:25" hidden="1" outlineLevel="1" x14ac:dyDescent="0.35">
      <c r="A895" s="39" t="s">
        <v>2126</v>
      </c>
      <c r="B895" s="39" t="s">
        <v>109</v>
      </c>
      <c r="C895" s="39" t="s">
        <v>109</v>
      </c>
      <c r="D895" s="39" t="s">
        <v>109</v>
      </c>
      <c r="E895" s="40" t="s">
        <v>109</v>
      </c>
      <c r="F895" s="39" t="s">
        <v>41</v>
      </c>
      <c r="G895" s="39" t="s">
        <v>110</v>
      </c>
      <c r="H895" s="47">
        <v>0</v>
      </c>
      <c r="I895" s="36">
        <f t="shared" si="159"/>
        <v>0</v>
      </c>
      <c r="J895" s="37">
        <f t="shared" si="157"/>
        <v>0</v>
      </c>
      <c r="K895" s="37">
        <f t="shared" si="158"/>
        <v>0</v>
      </c>
      <c r="M895" s="37">
        <f t="shared" si="160"/>
        <v>0</v>
      </c>
      <c r="O895" s="4">
        <f t="shared" si="161"/>
        <v>0</v>
      </c>
      <c r="Q895" s="4">
        <f t="shared" si="162"/>
        <v>0</v>
      </c>
      <c r="S895" s="4">
        <f t="shared" si="163"/>
        <v>0</v>
      </c>
      <c r="U895" s="4">
        <f t="shared" si="166"/>
        <v>0</v>
      </c>
      <c r="W895" s="4">
        <f t="shared" si="164"/>
        <v>0</v>
      </c>
      <c r="Y895" s="4">
        <f t="shared" si="165"/>
        <v>0</v>
      </c>
    </row>
    <row r="896" spans="1:25" hidden="1" outlineLevel="1" x14ac:dyDescent="0.35">
      <c r="A896" s="39" t="s">
        <v>2127</v>
      </c>
      <c r="B896" s="39" t="s">
        <v>109</v>
      </c>
      <c r="C896" s="39" t="s">
        <v>109</v>
      </c>
      <c r="D896" s="39" t="s">
        <v>887</v>
      </c>
      <c r="E896" s="40" t="s">
        <v>211</v>
      </c>
      <c r="F896" s="39" t="s">
        <v>41</v>
      </c>
      <c r="G896" s="39" t="s">
        <v>110</v>
      </c>
      <c r="H896" s="47">
        <v>0</v>
      </c>
      <c r="I896" s="36">
        <f t="shared" si="159"/>
        <v>0</v>
      </c>
      <c r="J896" s="37">
        <f t="shared" si="157"/>
        <v>0</v>
      </c>
      <c r="K896" s="37">
        <f t="shared" si="158"/>
        <v>0</v>
      </c>
      <c r="M896" s="37">
        <f t="shared" si="160"/>
        <v>0</v>
      </c>
      <c r="O896" s="4">
        <f t="shared" si="161"/>
        <v>0</v>
      </c>
      <c r="Q896" s="4">
        <f t="shared" si="162"/>
        <v>0</v>
      </c>
      <c r="S896" s="4">
        <f t="shared" si="163"/>
        <v>0</v>
      </c>
      <c r="U896" s="4">
        <f t="shared" si="166"/>
        <v>0</v>
      </c>
      <c r="W896" s="4">
        <f t="shared" si="164"/>
        <v>0</v>
      </c>
      <c r="Y896" s="4">
        <f t="shared" si="165"/>
        <v>0</v>
      </c>
    </row>
    <row r="897" spans="1:25" hidden="1" outlineLevel="1" x14ac:dyDescent="0.35">
      <c r="A897" s="39" t="s">
        <v>2128</v>
      </c>
      <c r="B897" s="39" t="s">
        <v>109</v>
      </c>
      <c r="C897" s="39" t="s">
        <v>109</v>
      </c>
      <c r="D897" s="39" t="s">
        <v>466</v>
      </c>
      <c r="E897" s="40" t="s">
        <v>114</v>
      </c>
      <c r="F897" s="39" t="s">
        <v>41</v>
      </c>
      <c r="G897" s="39" t="s">
        <v>2129</v>
      </c>
      <c r="H897" s="47">
        <v>0</v>
      </c>
      <c r="I897" s="36">
        <f t="shared" si="159"/>
        <v>0</v>
      </c>
      <c r="J897" s="37">
        <f t="shared" si="157"/>
        <v>0</v>
      </c>
      <c r="K897" s="37">
        <f t="shared" si="158"/>
        <v>0</v>
      </c>
      <c r="M897" s="37">
        <f t="shared" si="160"/>
        <v>0</v>
      </c>
      <c r="O897" s="4">
        <f t="shared" si="161"/>
        <v>0</v>
      </c>
      <c r="Q897" s="4">
        <f t="shared" si="162"/>
        <v>0</v>
      </c>
      <c r="S897" s="4">
        <f t="shared" si="163"/>
        <v>0</v>
      </c>
      <c r="U897" s="4">
        <f t="shared" si="166"/>
        <v>0</v>
      </c>
      <c r="W897" s="4">
        <f t="shared" si="164"/>
        <v>0</v>
      </c>
      <c r="Y897" s="4">
        <f t="shared" si="165"/>
        <v>0</v>
      </c>
    </row>
    <row r="898" spans="1:25" hidden="1" outlineLevel="1" x14ac:dyDescent="0.35">
      <c r="A898" s="39" t="s">
        <v>2130</v>
      </c>
      <c r="B898" s="39" t="s">
        <v>109</v>
      </c>
      <c r="C898" s="39" t="s">
        <v>109</v>
      </c>
      <c r="D898" s="39" t="s">
        <v>55</v>
      </c>
      <c r="E898" s="40" t="s">
        <v>56</v>
      </c>
      <c r="F898" s="39" t="s">
        <v>41</v>
      </c>
      <c r="G898" s="39" t="s">
        <v>110</v>
      </c>
      <c r="H898" s="47">
        <v>0</v>
      </c>
      <c r="I898" s="36">
        <f t="shared" si="159"/>
        <v>0</v>
      </c>
      <c r="J898" s="37">
        <f t="shared" si="157"/>
        <v>0</v>
      </c>
      <c r="K898" s="37">
        <f t="shared" si="158"/>
        <v>0</v>
      </c>
      <c r="M898" s="37">
        <f t="shared" si="160"/>
        <v>0</v>
      </c>
      <c r="O898" s="4">
        <f t="shared" si="161"/>
        <v>0</v>
      </c>
      <c r="Q898" s="4">
        <f t="shared" si="162"/>
        <v>0</v>
      </c>
      <c r="S898" s="4">
        <f t="shared" si="163"/>
        <v>0</v>
      </c>
      <c r="U898" s="4">
        <f t="shared" si="166"/>
        <v>0</v>
      </c>
      <c r="W898" s="4">
        <f t="shared" si="164"/>
        <v>0</v>
      </c>
      <c r="Y898" s="4">
        <f t="shared" si="165"/>
        <v>0</v>
      </c>
    </row>
    <row r="899" spans="1:25" hidden="1" outlineLevel="1" x14ac:dyDescent="0.35">
      <c r="A899" s="39" t="s">
        <v>2131</v>
      </c>
      <c r="B899" s="39" t="s">
        <v>109</v>
      </c>
      <c r="C899" s="39" t="s">
        <v>109</v>
      </c>
      <c r="D899" s="39" t="s">
        <v>466</v>
      </c>
      <c r="E899" s="40" t="s">
        <v>114</v>
      </c>
      <c r="F899" s="39" t="s">
        <v>41</v>
      </c>
      <c r="G899" s="39" t="s">
        <v>2132</v>
      </c>
      <c r="H899" s="47">
        <v>0</v>
      </c>
      <c r="I899" s="36">
        <f t="shared" si="159"/>
        <v>0</v>
      </c>
      <c r="J899" s="37">
        <f t="shared" si="157"/>
        <v>0</v>
      </c>
      <c r="K899" s="37">
        <f t="shared" si="158"/>
        <v>0</v>
      </c>
      <c r="M899" s="37">
        <f t="shared" si="160"/>
        <v>0</v>
      </c>
      <c r="O899" s="4">
        <f t="shared" si="161"/>
        <v>0</v>
      </c>
      <c r="Q899" s="4">
        <f t="shared" si="162"/>
        <v>0</v>
      </c>
      <c r="S899" s="4">
        <f t="shared" si="163"/>
        <v>0</v>
      </c>
      <c r="U899" s="4">
        <f t="shared" si="166"/>
        <v>0</v>
      </c>
      <c r="W899" s="4">
        <f t="shared" si="164"/>
        <v>0</v>
      </c>
      <c r="Y899" s="4">
        <f t="shared" si="165"/>
        <v>0</v>
      </c>
    </row>
    <row r="900" spans="1:25" hidden="1" outlineLevel="1" x14ac:dyDescent="0.35">
      <c r="A900" s="39" t="s">
        <v>2133</v>
      </c>
      <c r="B900" s="39" t="s">
        <v>109</v>
      </c>
      <c r="C900" s="39" t="s">
        <v>109</v>
      </c>
      <c r="D900" s="39" t="s">
        <v>1082</v>
      </c>
      <c r="E900" s="40" t="s">
        <v>165</v>
      </c>
      <c r="F900" s="39" t="s">
        <v>41</v>
      </c>
      <c r="G900" s="39" t="s">
        <v>2134</v>
      </c>
      <c r="H900" s="47">
        <v>0</v>
      </c>
      <c r="I900" s="36">
        <f t="shared" si="159"/>
        <v>0</v>
      </c>
      <c r="J900" s="37">
        <f t="shared" si="157"/>
        <v>0</v>
      </c>
      <c r="K900" s="37">
        <f t="shared" si="158"/>
        <v>0</v>
      </c>
      <c r="M900" s="37">
        <f t="shared" si="160"/>
        <v>0</v>
      </c>
      <c r="O900" s="4">
        <f t="shared" si="161"/>
        <v>0</v>
      </c>
      <c r="Q900" s="4">
        <f t="shared" si="162"/>
        <v>0</v>
      </c>
      <c r="S900" s="4">
        <f t="shared" si="163"/>
        <v>0</v>
      </c>
      <c r="U900" s="4">
        <f t="shared" si="166"/>
        <v>0</v>
      </c>
      <c r="W900" s="4">
        <f t="shared" si="164"/>
        <v>0</v>
      </c>
      <c r="Y900" s="4">
        <f t="shared" si="165"/>
        <v>0</v>
      </c>
    </row>
    <row r="901" spans="1:25" hidden="1" outlineLevel="1" x14ac:dyDescent="0.35">
      <c r="A901" s="39" t="s">
        <v>781</v>
      </c>
      <c r="B901" s="39" t="s">
        <v>109</v>
      </c>
      <c r="C901" s="39" t="s">
        <v>109</v>
      </c>
      <c r="D901" s="39" t="s">
        <v>397</v>
      </c>
      <c r="E901" s="40" t="s">
        <v>1282</v>
      </c>
      <c r="F901" s="39" t="s">
        <v>41</v>
      </c>
      <c r="G901" s="39" t="s">
        <v>2135</v>
      </c>
      <c r="H901" s="47">
        <v>0</v>
      </c>
      <c r="I901" s="36">
        <f t="shared" si="159"/>
        <v>0</v>
      </c>
      <c r="J901" s="37">
        <f t="shared" si="157"/>
        <v>0</v>
      </c>
      <c r="K901" s="37">
        <f t="shared" si="158"/>
        <v>0</v>
      </c>
      <c r="M901" s="37">
        <f t="shared" si="160"/>
        <v>0</v>
      </c>
      <c r="O901" s="4">
        <f t="shared" si="161"/>
        <v>0</v>
      </c>
      <c r="Q901" s="4">
        <f t="shared" si="162"/>
        <v>0</v>
      </c>
      <c r="S901" s="4">
        <f t="shared" si="163"/>
        <v>0</v>
      </c>
      <c r="U901" s="4">
        <f t="shared" si="166"/>
        <v>0</v>
      </c>
      <c r="W901" s="4">
        <f t="shared" si="164"/>
        <v>0</v>
      </c>
      <c r="Y901" s="4">
        <f t="shared" si="165"/>
        <v>0</v>
      </c>
    </row>
    <row r="902" spans="1:25" hidden="1" outlineLevel="1" x14ac:dyDescent="0.35">
      <c r="A902" s="39" t="s">
        <v>2136</v>
      </c>
      <c r="B902" s="39" t="s">
        <v>109</v>
      </c>
      <c r="C902" s="39" t="s">
        <v>109</v>
      </c>
      <c r="D902" s="39" t="s">
        <v>1413</v>
      </c>
      <c r="E902" s="40" t="s">
        <v>56</v>
      </c>
      <c r="F902" s="39" t="s">
        <v>41</v>
      </c>
      <c r="G902" s="39" t="s">
        <v>2137</v>
      </c>
      <c r="H902" s="47">
        <v>0</v>
      </c>
      <c r="I902" s="36">
        <f t="shared" si="159"/>
        <v>0</v>
      </c>
      <c r="J902" s="37">
        <f t="shared" si="157"/>
        <v>0</v>
      </c>
      <c r="K902" s="37">
        <f t="shared" si="158"/>
        <v>0</v>
      </c>
      <c r="M902" s="37">
        <f t="shared" si="160"/>
        <v>0</v>
      </c>
      <c r="O902" s="4">
        <f t="shared" si="161"/>
        <v>0</v>
      </c>
      <c r="Q902" s="4">
        <f t="shared" si="162"/>
        <v>0</v>
      </c>
      <c r="S902" s="4">
        <f t="shared" si="163"/>
        <v>0</v>
      </c>
      <c r="U902" s="4">
        <f t="shared" si="166"/>
        <v>0</v>
      </c>
      <c r="W902" s="4">
        <f t="shared" si="164"/>
        <v>0</v>
      </c>
      <c r="Y902" s="4">
        <f t="shared" si="165"/>
        <v>0</v>
      </c>
    </row>
    <row r="903" spans="1:25" hidden="1" outlineLevel="1" x14ac:dyDescent="0.35">
      <c r="A903" s="39" t="s">
        <v>2138</v>
      </c>
      <c r="B903" s="39" t="s">
        <v>109</v>
      </c>
      <c r="C903" s="39" t="s">
        <v>2139</v>
      </c>
      <c r="D903" s="39" t="s">
        <v>2140</v>
      </c>
      <c r="E903" s="40" t="s">
        <v>200</v>
      </c>
      <c r="F903" s="39" t="s">
        <v>41</v>
      </c>
      <c r="G903" s="39" t="s">
        <v>110</v>
      </c>
      <c r="H903" s="47">
        <v>0</v>
      </c>
      <c r="I903" s="36">
        <f t="shared" si="159"/>
        <v>0</v>
      </c>
      <c r="J903" s="37">
        <f t="shared" si="157"/>
        <v>0</v>
      </c>
      <c r="K903" s="37">
        <f t="shared" si="158"/>
        <v>0</v>
      </c>
      <c r="M903" s="37">
        <f t="shared" si="160"/>
        <v>0</v>
      </c>
      <c r="O903" s="4">
        <f t="shared" si="161"/>
        <v>0</v>
      </c>
      <c r="Q903" s="4">
        <f t="shared" si="162"/>
        <v>0</v>
      </c>
      <c r="S903" s="4">
        <f t="shared" si="163"/>
        <v>0</v>
      </c>
      <c r="U903" s="4">
        <f t="shared" si="166"/>
        <v>0</v>
      </c>
      <c r="W903" s="4">
        <f t="shared" si="164"/>
        <v>0</v>
      </c>
      <c r="Y903" s="4">
        <f t="shared" si="165"/>
        <v>0</v>
      </c>
    </row>
    <row r="904" spans="1:25" hidden="1" outlineLevel="1" x14ac:dyDescent="0.35">
      <c r="A904" s="39" t="s">
        <v>2141</v>
      </c>
      <c r="B904" s="39" t="s">
        <v>109</v>
      </c>
      <c r="C904" s="39" t="s">
        <v>2142</v>
      </c>
      <c r="D904" s="39" t="s">
        <v>752</v>
      </c>
      <c r="E904" s="40" t="s">
        <v>255</v>
      </c>
      <c r="F904" s="39" t="s">
        <v>41</v>
      </c>
      <c r="G904" s="39" t="s">
        <v>110</v>
      </c>
      <c r="H904" s="47">
        <v>0</v>
      </c>
      <c r="I904" s="36">
        <f t="shared" si="159"/>
        <v>0</v>
      </c>
      <c r="J904" s="37">
        <f t="shared" si="157"/>
        <v>0</v>
      </c>
      <c r="K904" s="37">
        <f t="shared" si="158"/>
        <v>0</v>
      </c>
      <c r="M904" s="37">
        <f t="shared" si="160"/>
        <v>0</v>
      </c>
      <c r="O904" s="4">
        <f t="shared" si="161"/>
        <v>0</v>
      </c>
      <c r="Q904" s="4">
        <f t="shared" si="162"/>
        <v>0</v>
      </c>
      <c r="S904" s="4">
        <f t="shared" si="163"/>
        <v>0</v>
      </c>
      <c r="U904" s="4">
        <f t="shared" si="166"/>
        <v>0</v>
      </c>
      <c r="W904" s="4">
        <f t="shared" si="164"/>
        <v>0</v>
      </c>
      <c r="Y904" s="4">
        <f t="shared" si="165"/>
        <v>0</v>
      </c>
    </row>
    <row r="905" spans="1:25" hidden="1" outlineLevel="1" x14ac:dyDescent="0.35">
      <c r="A905" s="39" t="s">
        <v>2143</v>
      </c>
      <c r="B905" s="39" t="s">
        <v>109</v>
      </c>
      <c r="C905" s="39" t="s">
        <v>2144</v>
      </c>
      <c r="D905" s="39" t="s">
        <v>774</v>
      </c>
      <c r="E905" s="40" t="s">
        <v>251</v>
      </c>
      <c r="F905" s="39" t="s">
        <v>41</v>
      </c>
      <c r="G905" s="39" t="s">
        <v>2145</v>
      </c>
      <c r="H905" s="47">
        <v>0</v>
      </c>
      <c r="I905" s="36">
        <f t="shared" si="159"/>
        <v>0</v>
      </c>
      <c r="J905" s="37">
        <f t="shared" si="157"/>
        <v>0</v>
      </c>
      <c r="K905" s="37">
        <f t="shared" si="158"/>
        <v>0</v>
      </c>
      <c r="M905" s="37">
        <f t="shared" si="160"/>
        <v>0</v>
      </c>
      <c r="O905" s="4">
        <f t="shared" si="161"/>
        <v>0</v>
      </c>
      <c r="Q905" s="4">
        <f t="shared" si="162"/>
        <v>0</v>
      </c>
      <c r="S905" s="4">
        <f t="shared" si="163"/>
        <v>0</v>
      </c>
      <c r="U905" s="4">
        <f t="shared" si="166"/>
        <v>0</v>
      </c>
      <c r="W905" s="4">
        <f t="shared" si="164"/>
        <v>0</v>
      </c>
      <c r="Y905" s="4">
        <f t="shared" si="165"/>
        <v>0</v>
      </c>
    </row>
    <row r="906" spans="1:25" hidden="1" outlineLevel="1" x14ac:dyDescent="0.35">
      <c r="A906" s="39" t="s">
        <v>2146</v>
      </c>
      <c r="B906" s="39" t="s">
        <v>109</v>
      </c>
      <c r="C906" s="39" t="s">
        <v>2147</v>
      </c>
      <c r="D906" s="39" t="s">
        <v>2148</v>
      </c>
      <c r="E906" s="40" t="s">
        <v>721</v>
      </c>
      <c r="F906" s="39" t="s">
        <v>41</v>
      </c>
      <c r="G906" s="39" t="s">
        <v>110</v>
      </c>
      <c r="H906" s="47">
        <v>0</v>
      </c>
      <c r="I906" s="36">
        <f t="shared" si="159"/>
        <v>0</v>
      </c>
      <c r="J906" s="37">
        <f t="shared" si="157"/>
        <v>0</v>
      </c>
      <c r="K906" s="37">
        <f t="shared" si="158"/>
        <v>0</v>
      </c>
      <c r="M906" s="37">
        <f t="shared" si="160"/>
        <v>0</v>
      </c>
      <c r="O906" s="4">
        <f t="shared" si="161"/>
        <v>0</v>
      </c>
      <c r="Q906" s="4">
        <f t="shared" si="162"/>
        <v>0</v>
      </c>
      <c r="S906" s="4">
        <f t="shared" si="163"/>
        <v>0</v>
      </c>
      <c r="U906" s="4">
        <f t="shared" si="166"/>
        <v>0</v>
      </c>
      <c r="W906" s="4">
        <f t="shared" si="164"/>
        <v>0</v>
      </c>
      <c r="Y906" s="4">
        <f t="shared" si="165"/>
        <v>0</v>
      </c>
    </row>
    <row r="907" spans="1:25" hidden="1" outlineLevel="1" x14ac:dyDescent="0.35">
      <c r="A907" s="39" t="s">
        <v>2149</v>
      </c>
      <c r="B907" s="39" t="s">
        <v>109</v>
      </c>
      <c r="C907" s="39" t="s">
        <v>109</v>
      </c>
      <c r="D907" s="39" t="s">
        <v>1320</v>
      </c>
      <c r="E907" s="40" t="s">
        <v>95</v>
      </c>
      <c r="F907" s="39" t="s">
        <v>41</v>
      </c>
      <c r="G907" s="39" t="s">
        <v>110</v>
      </c>
      <c r="H907" s="47">
        <v>0</v>
      </c>
      <c r="I907" s="36">
        <f t="shared" si="159"/>
        <v>0</v>
      </c>
      <c r="J907" s="37">
        <f t="shared" si="157"/>
        <v>0</v>
      </c>
      <c r="K907" s="37">
        <f t="shared" si="158"/>
        <v>0</v>
      </c>
      <c r="M907" s="37">
        <f t="shared" si="160"/>
        <v>0</v>
      </c>
      <c r="O907" s="4">
        <f t="shared" si="161"/>
        <v>0</v>
      </c>
      <c r="Q907" s="4">
        <f t="shared" si="162"/>
        <v>0</v>
      </c>
      <c r="S907" s="4">
        <f t="shared" si="163"/>
        <v>0</v>
      </c>
      <c r="U907" s="4">
        <f t="shared" si="166"/>
        <v>0</v>
      </c>
      <c r="W907" s="4">
        <f t="shared" si="164"/>
        <v>0</v>
      </c>
      <c r="Y907" s="4">
        <f t="shared" si="165"/>
        <v>0</v>
      </c>
    </row>
    <row r="908" spans="1:25" hidden="1" outlineLevel="1" x14ac:dyDescent="0.35">
      <c r="A908" s="39" t="s">
        <v>2150</v>
      </c>
      <c r="B908" s="39" t="s">
        <v>109</v>
      </c>
      <c r="C908" s="39" t="s">
        <v>2151</v>
      </c>
      <c r="D908" s="39" t="s">
        <v>466</v>
      </c>
      <c r="E908" s="40" t="s">
        <v>114</v>
      </c>
      <c r="F908" s="39" t="s">
        <v>41</v>
      </c>
      <c r="G908" s="39" t="s">
        <v>2152</v>
      </c>
      <c r="H908" s="47">
        <v>0</v>
      </c>
      <c r="I908" s="36">
        <f t="shared" si="159"/>
        <v>0</v>
      </c>
      <c r="J908" s="37">
        <f t="shared" si="157"/>
        <v>0</v>
      </c>
      <c r="K908" s="37">
        <f t="shared" si="158"/>
        <v>0</v>
      </c>
      <c r="M908" s="37">
        <f t="shared" si="160"/>
        <v>0</v>
      </c>
      <c r="O908" s="4">
        <f t="shared" si="161"/>
        <v>0</v>
      </c>
      <c r="Q908" s="4">
        <f t="shared" si="162"/>
        <v>0</v>
      </c>
      <c r="S908" s="4">
        <f t="shared" si="163"/>
        <v>0</v>
      </c>
      <c r="U908" s="4">
        <f t="shared" si="166"/>
        <v>0</v>
      </c>
      <c r="W908" s="4">
        <f t="shared" si="164"/>
        <v>0</v>
      </c>
      <c r="Y908" s="4">
        <f t="shared" si="165"/>
        <v>0</v>
      </c>
    </row>
    <row r="909" spans="1:25" hidden="1" outlineLevel="1" x14ac:dyDescent="0.35">
      <c r="A909" s="39" t="s">
        <v>2153</v>
      </c>
      <c r="B909" s="39" t="s">
        <v>109</v>
      </c>
      <c r="C909" s="39" t="s">
        <v>109</v>
      </c>
      <c r="D909" s="39" t="s">
        <v>2154</v>
      </c>
      <c r="E909" s="40" t="s">
        <v>165</v>
      </c>
      <c r="F909" s="39" t="s">
        <v>41</v>
      </c>
      <c r="G909" s="39" t="s">
        <v>110</v>
      </c>
      <c r="H909" s="47">
        <v>0</v>
      </c>
      <c r="I909" s="36">
        <f t="shared" si="159"/>
        <v>0</v>
      </c>
      <c r="J909" s="37">
        <f t="shared" si="157"/>
        <v>0</v>
      </c>
      <c r="K909" s="37">
        <f t="shared" si="158"/>
        <v>0</v>
      </c>
      <c r="M909" s="37">
        <f t="shared" si="160"/>
        <v>0</v>
      </c>
      <c r="O909" s="4">
        <f t="shared" si="161"/>
        <v>0</v>
      </c>
      <c r="Q909" s="4">
        <f t="shared" si="162"/>
        <v>0</v>
      </c>
      <c r="S909" s="4">
        <f t="shared" si="163"/>
        <v>0</v>
      </c>
      <c r="U909" s="4">
        <f t="shared" si="166"/>
        <v>0</v>
      </c>
      <c r="W909" s="4">
        <f t="shared" si="164"/>
        <v>0</v>
      </c>
      <c r="Y909" s="4">
        <f t="shared" si="165"/>
        <v>0</v>
      </c>
    </row>
    <row r="910" spans="1:25" hidden="1" outlineLevel="1" x14ac:dyDescent="0.35">
      <c r="A910" s="39" t="s">
        <v>2155</v>
      </c>
      <c r="B910" s="39" t="s">
        <v>109</v>
      </c>
      <c r="C910" s="39" t="s">
        <v>2156</v>
      </c>
      <c r="D910" s="39" t="s">
        <v>2157</v>
      </c>
      <c r="E910" s="40" t="s">
        <v>302</v>
      </c>
      <c r="F910" s="39" t="s">
        <v>41</v>
      </c>
      <c r="G910" s="39" t="s">
        <v>2158</v>
      </c>
      <c r="H910" s="47">
        <v>0</v>
      </c>
      <c r="I910" s="36">
        <f t="shared" si="159"/>
        <v>0</v>
      </c>
      <c r="J910" s="37">
        <f t="shared" si="157"/>
        <v>0</v>
      </c>
      <c r="K910" s="37">
        <f t="shared" si="158"/>
        <v>0</v>
      </c>
      <c r="M910" s="37">
        <f t="shared" si="160"/>
        <v>0</v>
      </c>
      <c r="O910" s="4">
        <f t="shared" si="161"/>
        <v>0</v>
      </c>
      <c r="Q910" s="4">
        <f t="shared" si="162"/>
        <v>0</v>
      </c>
      <c r="S910" s="4">
        <f t="shared" si="163"/>
        <v>0</v>
      </c>
      <c r="U910" s="4">
        <f t="shared" si="166"/>
        <v>0</v>
      </c>
      <c r="W910" s="4">
        <f t="shared" si="164"/>
        <v>0</v>
      </c>
      <c r="Y910" s="4">
        <f t="shared" si="165"/>
        <v>0</v>
      </c>
    </row>
    <row r="911" spans="1:25" hidden="1" outlineLevel="1" x14ac:dyDescent="0.35">
      <c r="A911" s="39" t="s">
        <v>2159</v>
      </c>
      <c r="B911" s="39" t="s">
        <v>109</v>
      </c>
      <c r="C911" s="39" t="s">
        <v>2160</v>
      </c>
      <c r="D911" s="39" t="s">
        <v>305</v>
      </c>
      <c r="E911" s="40" t="s">
        <v>302</v>
      </c>
      <c r="F911" s="39" t="s">
        <v>41</v>
      </c>
      <c r="G911" s="39" t="s">
        <v>1214</v>
      </c>
      <c r="H911" s="47">
        <v>0</v>
      </c>
      <c r="I911" s="36">
        <f t="shared" si="159"/>
        <v>0</v>
      </c>
      <c r="J911" s="37">
        <f t="shared" si="157"/>
        <v>0</v>
      </c>
      <c r="K911" s="37">
        <f t="shared" si="158"/>
        <v>0</v>
      </c>
      <c r="M911" s="37">
        <f t="shared" si="160"/>
        <v>0</v>
      </c>
      <c r="O911" s="4">
        <f t="shared" si="161"/>
        <v>0</v>
      </c>
      <c r="Q911" s="4">
        <f t="shared" si="162"/>
        <v>0</v>
      </c>
      <c r="S911" s="4">
        <f t="shared" si="163"/>
        <v>0</v>
      </c>
      <c r="U911" s="4">
        <f t="shared" si="166"/>
        <v>0</v>
      </c>
      <c r="W911" s="4">
        <f t="shared" si="164"/>
        <v>0</v>
      </c>
      <c r="Y911" s="4">
        <f t="shared" si="165"/>
        <v>0</v>
      </c>
    </row>
    <row r="912" spans="1:25" hidden="1" outlineLevel="1" x14ac:dyDescent="0.35">
      <c r="A912" s="39" t="s">
        <v>2161</v>
      </c>
      <c r="B912" s="39" t="s">
        <v>109</v>
      </c>
      <c r="C912" s="39" t="s">
        <v>191</v>
      </c>
      <c r="D912" s="39" t="s">
        <v>1360</v>
      </c>
      <c r="E912" s="40" t="s">
        <v>61</v>
      </c>
      <c r="F912" s="39" t="s">
        <v>41</v>
      </c>
      <c r="G912" s="39" t="s">
        <v>2162</v>
      </c>
      <c r="H912" s="47">
        <v>0</v>
      </c>
      <c r="I912" s="36">
        <f t="shared" si="159"/>
        <v>0</v>
      </c>
      <c r="J912" s="37">
        <f t="shared" si="157"/>
        <v>0</v>
      </c>
      <c r="K912" s="37">
        <f t="shared" si="158"/>
        <v>0</v>
      </c>
      <c r="M912" s="37">
        <f t="shared" si="160"/>
        <v>0</v>
      </c>
      <c r="O912" s="4">
        <f t="shared" si="161"/>
        <v>0</v>
      </c>
      <c r="Q912" s="4">
        <f t="shared" si="162"/>
        <v>0</v>
      </c>
      <c r="S912" s="4">
        <f t="shared" si="163"/>
        <v>0</v>
      </c>
      <c r="U912" s="4">
        <f t="shared" si="166"/>
        <v>0</v>
      </c>
      <c r="W912" s="4">
        <f t="shared" si="164"/>
        <v>0</v>
      </c>
      <c r="Y912" s="4">
        <f t="shared" si="165"/>
        <v>0</v>
      </c>
    </row>
    <row r="913" spans="1:25" hidden="1" outlineLevel="1" x14ac:dyDescent="0.35">
      <c r="A913" s="39" t="s">
        <v>2163</v>
      </c>
      <c r="B913" s="39" t="s">
        <v>109</v>
      </c>
      <c r="C913" s="39" t="s">
        <v>2164</v>
      </c>
      <c r="D913" s="39" t="s">
        <v>774</v>
      </c>
      <c r="E913" s="40" t="s">
        <v>251</v>
      </c>
      <c r="F913" s="39" t="s">
        <v>41</v>
      </c>
      <c r="G913" s="39" t="s">
        <v>2145</v>
      </c>
      <c r="H913" s="47">
        <v>0</v>
      </c>
      <c r="I913" s="36">
        <f t="shared" si="159"/>
        <v>0</v>
      </c>
      <c r="J913" s="37">
        <f t="shared" si="157"/>
        <v>0</v>
      </c>
      <c r="K913" s="37">
        <f t="shared" si="158"/>
        <v>0</v>
      </c>
      <c r="M913" s="37">
        <f t="shared" si="160"/>
        <v>0</v>
      </c>
      <c r="O913" s="4">
        <f t="shared" si="161"/>
        <v>0</v>
      </c>
      <c r="Q913" s="4">
        <f t="shared" si="162"/>
        <v>0</v>
      </c>
      <c r="S913" s="4">
        <f t="shared" si="163"/>
        <v>0</v>
      </c>
      <c r="U913" s="4">
        <f t="shared" si="166"/>
        <v>0</v>
      </c>
      <c r="W913" s="4">
        <f t="shared" si="164"/>
        <v>0</v>
      </c>
      <c r="Y913" s="4">
        <f t="shared" si="165"/>
        <v>0</v>
      </c>
    </row>
    <row r="914" spans="1:25" hidden="1" outlineLevel="1" x14ac:dyDescent="0.35">
      <c r="A914" s="39" t="s">
        <v>2165</v>
      </c>
      <c r="B914" s="39" t="s">
        <v>109</v>
      </c>
      <c r="C914" s="39" t="s">
        <v>109</v>
      </c>
      <c r="D914" s="39" t="s">
        <v>2166</v>
      </c>
      <c r="E914" s="40" t="s">
        <v>1018</v>
      </c>
      <c r="F914" s="39" t="s">
        <v>41</v>
      </c>
      <c r="G914" s="39" t="s">
        <v>2167</v>
      </c>
      <c r="H914" s="47">
        <v>0</v>
      </c>
      <c r="I914" s="36">
        <f t="shared" si="159"/>
        <v>0</v>
      </c>
      <c r="J914" s="37">
        <f t="shared" si="157"/>
        <v>0</v>
      </c>
      <c r="K914" s="37">
        <f t="shared" si="158"/>
        <v>0</v>
      </c>
      <c r="M914" s="37">
        <f t="shared" si="160"/>
        <v>0</v>
      </c>
      <c r="O914" s="4">
        <f t="shared" si="161"/>
        <v>0</v>
      </c>
      <c r="Q914" s="4">
        <f t="shared" si="162"/>
        <v>0</v>
      </c>
      <c r="S914" s="4">
        <f t="shared" si="163"/>
        <v>0</v>
      </c>
      <c r="U914" s="4">
        <f t="shared" si="166"/>
        <v>0</v>
      </c>
      <c r="W914" s="4">
        <f t="shared" si="164"/>
        <v>0</v>
      </c>
      <c r="Y914" s="4">
        <f t="shared" si="165"/>
        <v>0</v>
      </c>
    </row>
    <row r="915" spans="1:25" hidden="1" outlineLevel="1" x14ac:dyDescent="0.35">
      <c r="A915" s="39" t="s">
        <v>2168</v>
      </c>
      <c r="B915" s="39" t="s">
        <v>109</v>
      </c>
      <c r="C915" s="39" t="s">
        <v>2169</v>
      </c>
      <c r="D915" s="39" t="s">
        <v>2170</v>
      </c>
      <c r="E915" s="40" t="s">
        <v>95</v>
      </c>
      <c r="F915" s="39" t="s">
        <v>41</v>
      </c>
      <c r="G915" s="39" t="s">
        <v>2171</v>
      </c>
      <c r="H915" s="47">
        <v>0</v>
      </c>
      <c r="I915" s="36">
        <f t="shared" si="159"/>
        <v>0</v>
      </c>
      <c r="J915" s="37">
        <f t="shared" si="157"/>
        <v>0</v>
      </c>
      <c r="K915" s="37">
        <f t="shared" si="158"/>
        <v>0</v>
      </c>
      <c r="M915" s="37">
        <f t="shared" si="160"/>
        <v>0</v>
      </c>
      <c r="O915" s="4">
        <f t="shared" si="161"/>
        <v>0</v>
      </c>
      <c r="Q915" s="4">
        <f t="shared" si="162"/>
        <v>0</v>
      </c>
      <c r="S915" s="4">
        <f t="shared" si="163"/>
        <v>0</v>
      </c>
      <c r="U915" s="4">
        <f t="shared" si="166"/>
        <v>0</v>
      </c>
      <c r="W915" s="4">
        <f t="shared" si="164"/>
        <v>0</v>
      </c>
      <c r="Y915" s="4">
        <f t="shared" si="165"/>
        <v>0</v>
      </c>
    </row>
    <row r="916" spans="1:25" hidden="1" outlineLevel="1" x14ac:dyDescent="0.35">
      <c r="A916" s="39" t="s">
        <v>2172</v>
      </c>
      <c r="B916" s="39" t="s">
        <v>109</v>
      </c>
      <c r="C916" s="39" t="s">
        <v>109</v>
      </c>
      <c r="D916" s="39" t="s">
        <v>2173</v>
      </c>
      <c r="E916" s="40" t="s">
        <v>750</v>
      </c>
      <c r="F916" s="39" t="s">
        <v>41</v>
      </c>
      <c r="G916" s="39" t="s">
        <v>2174</v>
      </c>
      <c r="H916" s="47">
        <v>0</v>
      </c>
      <c r="I916" s="36">
        <f t="shared" si="159"/>
        <v>0</v>
      </c>
      <c r="J916" s="37">
        <f t="shared" si="157"/>
        <v>0</v>
      </c>
      <c r="K916" s="37">
        <f t="shared" si="158"/>
        <v>0</v>
      </c>
      <c r="M916" s="37">
        <f t="shared" si="160"/>
        <v>0</v>
      </c>
      <c r="O916" s="4">
        <f t="shared" si="161"/>
        <v>0</v>
      </c>
      <c r="Q916" s="4">
        <f t="shared" si="162"/>
        <v>0</v>
      </c>
      <c r="S916" s="4">
        <f t="shared" si="163"/>
        <v>0</v>
      </c>
      <c r="U916" s="4">
        <f t="shared" si="166"/>
        <v>0</v>
      </c>
      <c r="W916" s="4">
        <f t="shared" si="164"/>
        <v>0</v>
      </c>
      <c r="Y916" s="4">
        <f t="shared" si="165"/>
        <v>0</v>
      </c>
    </row>
    <row r="917" spans="1:25" hidden="1" outlineLevel="1" x14ac:dyDescent="0.35">
      <c r="A917" s="39" t="s">
        <v>2175</v>
      </c>
      <c r="B917" s="39" t="s">
        <v>109</v>
      </c>
      <c r="C917" s="39" t="s">
        <v>2176</v>
      </c>
      <c r="D917" s="39" t="s">
        <v>1438</v>
      </c>
      <c r="E917" s="40" t="s">
        <v>1018</v>
      </c>
      <c r="F917" s="39" t="s">
        <v>41</v>
      </c>
      <c r="G917" s="39" t="s">
        <v>110</v>
      </c>
      <c r="H917" s="47">
        <v>0</v>
      </c>
      <c r="I917" s="36">
        <f t="shared" si="159"/>
        <v>0</v>
      </c>
      <c r="J917" s="37">
        <f t="shared" si="157"/>
        <v>0</v>
      </c>
      <c r="K917" s="37">
        <f t="shared" si="158"/>
        <v>0</v>
      </c>
      <c r="M917" s="37">
        <f t="shared" si="160"/>
        <v>0</v>
      </c>
      <c r="O917" s="4">
        <f t="shared" si="161"/>
        <v>0</v>
      </c>
      <c r="Q917" s="4">
        <f t="shared" si="162"/>
        <v>0</v>
      </c>
      <c r="S917" s="4">
        <f t="shared" si="163"/>
        <v>0</v>
      </c>
      <c r="U917" s="4">
        <f t="shared" si="166"/>
        <v>0</v>
      </c>
      <c r="W917" s="4">
        <f t="shared" si="164"/>
        <v>0</v>
      </c>
      <c r="Y917" s="4">
        <f t="shared" si="165"/>
        <v>0</v>
      </c>
    </row>
    <row r="918" spans="1:25" hidden="1" outlineLevel="1" x14ac:dyDescent="0.35">
      <c r="A918" s="39" t="s">
        <v>2177</v>
      </c>
      <c r="B918" s="39" t="s">
        <v>109</v>
      </c>
      <c r="C918" s="39" t="s">
        <v>109</v>
      </c>
      <c r="D918" s="39" t="s">
        <v>2178</v>
      </c>
      <c r="E918" s="40" t="s">
        <v>114</v>
      </c>
      <c r="F918" s="39" t="s">
        <v>41</v>
      </c>
      <c r="G918" s="39" t="s">
        <v>2179</v>
      </c>
      <c r="H918" s="47">
        <v>0</v>
      </c>
      <c r="I918" s="36">
        <f t="shared" si="159"/>
        <v>0</v>
      </c>
      <c r="J918" s="37">
        <f t="shared" si="157"/>
        <v>0</v>
      </c>
      <c r="K918" s="37">
        <f t="shared" si="158"/>
        <v>0</v>
      </c>
      <c r="M918" s="37">
        <f t="shared" si="160"/>
        <v>0</v>
      </c>
      <c r="O918" s="4">
        <f t="shared" si="161"/>
        <v>0</v>
      </c>
      <c r="Q918" s="4">
        <f t="shared" si="162"/>
        <v>0</v>
      </c>
      <c r="S918" s="4">
        <f t="shared" si="163"/>
        <v>0</v>
      </c>
      <c r="U918" s="4">
        <f t="shared" si="166"/>
        <v>0</v>
      </c>
      <c r="W918" s="4">
        <f t="shared" si="164"/>
        <v>0</v>
      </c>
      <c r="Y918" s="4">
        <f t="shared" si="165"/>
        <v>0</v>
      </c>
    </row>
    <row r="919" spans="1:25" hidden="1" outlineLevel="1" x14ac:dyDescent="0.35">
      <c r="A919" s="39" t="s">
        <v>2180</v>
      </c>
      <c r="B919" s="39" t="s">
        <v>109</v>
      </c>
      <c r="C919" s="39" t="s">
        <v>2181</v>
      </c>
      <c r="D919" s="39" t="s">
        <v>2182</v>
      </c>
      <c r="E919" s="40" t="s">
        <v>452</v>
      </c>
      <c r="F919" s="39" t="s">
        <v>41</v>
      </c>
      <c r="G919" s="39" t="s">
        <v>2183</v>
      </c>
      <c r="H919" s="47">
        <v>0</v>
      </c>
      <c r="I919" s="36">
        <f t="shared" si="159"/>
        <v>0</v>
      </c>
      <c r="J919" s="37">
        <f t="shared" si="157"/>
        <v>0</v>
      </c>
      <c r="K919" s="37">
        <f t="shared" si="158"/>
        <v>0</v>
      </c>
      <c r="M919" s="37">
        <f t="shared" si="160"/>
        <v>0</v>
      </c>
      <c r="O919" s="4">
        <f t="shared" si="161"/>
        <v>0</v>
      </c>
      <c r="Q919" s="4">
        <f t="shared" si="162"/>
        <v>0</v>
      </c>
      <c r="S919" s="4">
        <f t="shared" si="163"/>
        <v>0</v>
      </c>
      <c r="U919" s="4">
        <f t="shared" si="166"/>
        <v>0</v>
      </c>
      <c r="W919" s="4">
        <f t="shared" si="164"/>
        <v>0</v>
      </c>
      <c r="Y919" s="4">
        <f t="shared" si="165"/>
        <v>0</v>
      </c>
    </row>
    <row r="920" spans="1:25" hidden="1" outlineLevel="1" x14ac:dyDescent="0.35">
      <c r="A920" s="39" t="s">
        <v>2184</v>
      </c>
      <c r="B920" s="39" t="s">
        <v>109</v>
      </c>
      <c r="C920" s="39" t="s">
        <v>109</v>
      </c>
      <c r="D920" s="39" t="s">
        <v>856</v>
      </c>
      <c r="E920" s="40" t="s">
        <v>165</v>
      </c>
      <c r="F920" s="39" t="s">
        <v>41</v>
      </c>
      <c r="G920" s="39" t="s">
        <v>2185</v>
      </c>
      <c r="H920" s="47">
        <v>0</v>
      </c>
      <c r="I920" s="36">
        <f t="shared" si="159"/>
        <v>0</v>
      </c>
      <c r="J920" s="37">
        <f t="shared" si="157"/>
        <v>0</v>
      </c>
      <c r="K920" s="37">
        <f t="shared" si="158"/>
        <v>0</v>
      </c>
      <c r="M920" s="37">
        <f t="shared" si="160"/>
        <v>0</v>
      </c>
      <c r="O920" s="4">
        <f t="shared" si="161"/>
        <v>0</v>
      </c>
      <c r="Q920" s="4">
        <f t="shared" si="162"/>
        <v>0</v>
      </c>
      <c r="S920" s="4">
        <f t="shared" si="163"/>
        <v>0</v>
      </c>
      <c r="U920" s="4">
        <f t="shared" si="166"/>
        <v>0</v>
      </c>
      <c r="W920" s="4">
        <f t="shared" si="164"/>
        <v>0</v>
      </c>
      <c r="Y920" s="4">
        <f t="shared" si="165"/>
        <v>0</v>
      </c>
    </row>
    <row r="921" spans="1:25" hidden="1" outlineLevel="1" x14ac:dyDescent="0.35">
      <c r="A921" s="39" t="s">
        <v>2186</v>
      </c>
      <c r="B921" s="39" t="s">
        <v>109</v>
      </c>
      <c r="C921" s="39" t="s">
        <v>2187</v>
      </c>
      <c r="D921" s="39" t="s">
        <v>669</v>
      </c>
      <c r="E921" s="40" t="s">
        <v>114</v>
      </c>
      <c r="F921" s="39" t="s">
        <v>41</v>
      </c>
      <c r="G921" s="39" t="s">
        <v>2188</v>
      </c>
      <c r="H921" s="47">
        <v>0</v>
      </c>
      <c r="I921" s="36">
        <f t="shared" si="159"/>
        <v>0</v>
      </c>
      <c r="J921" s="37">
        <f t="shared" si="157"/>
        <v>0</v>
      </c>
      <c r="K921" s="37">
        <f t="shared" si="158"/>
        <v>0</v>
      </c>
      <c r="M921" s="37">
        <f t="shared" si="160"/>
        <v>0</v>
      </c>
      <c r="O921" s="4">
        <f t="shared" si="161"/>
        <v>0</v>
      </c>
      <c r="Q921" s="4">
        <f t="shared" si="162"/>
        <v>0</v>
      </c>
      <c r="S921" s="4">
        <f t="shared" si="163"/>
        <v>0</v>
      </c>
      <c r="U921" s="4">
        <f t="shared" si="166"/>
        <v>0</v>
      </c>
      <c r="W921" s="4">
        <f t="shared" si="164"/>
        <v>0</v>
      </c>
      <c r="Y921" s="4">
        <f t="shared" si="165"/>
        <v>0</v>
      </c>
    </row>
    <row r="922" spans="1:25" hidden="1" outlineLevel="1" x14ac:dyDescent="0.35">
      <c r="A922" s="39" t="s">
        <v>2189</v>
      </c>
      <c r="B922" s="39" t="s">
        <v>109</v>
      </c>
      <c r="C922" s="39" t="s">
        <v>2190</v>
      </c>
      <c r="D922" s="39" t="s">
        <v>2191</v>
      </c>
      <c r="E922" s="40" t="s">
        <v>78</v>
      </c>
      <c r="F922" s="39" t="s">
        <v>41</v>
      </c>
      <c r="G922" s="39" t="s">
        <v>2192</v>
      </c>
      <c r="H922" s="47">
        <v>0</v>
      </c>
      <c r="I922" s="36">
        <f t="shared" si="159"/>
        <v>0</v>
      </c>
      <c r="J922" s="37">
        <f t="shared" si="157"/>
        <v>0</v>
      </c>
      <c r="K922" s="37">
        <f t="shared" si="158"/>
        <v>0</v>
      </c>
      <c r="M922" s="37">
        <f t="shared" si="160"/>
        <v>0</v>
      </c>
      <c r="O922" s="4">
        <f t="shared" si="161"/>
        <v>0</v>
      </c>
      <c r="Q922" s="4">
        <f t="shared" si="162"/>
        <v>0</v>
      </c>
      <c r="S922" s="4">
        <f t="shared" si="163"/>
        <v>0</v>
      </c>
      <c r="U922" s="4">
        <f t="shared" si="166"/>
        <v>0</v>
      </c>
      <c r="W922" s="4">
        <f t="shared" si="164"/>
        <v>0</v>
      </c>
      <c r="Y922" s="4">
        <f t="shared" si="165"/>
        <v>0</v>
      </c>
    </row>
    <row r="923" spans="1:25" hidden="1" outlineLevel="1" x14ac:dyDescent="0.35">
      <c r="A923" s="39" t="s">
        <v>2193</v>
      </c>
      <c r="B923" s="39" t="s">
        <v>109</v>
      </c>
      <c r="C923" s="39" t="s">
        <v>2194</v>
      </c>
      <c r="D923" s="39" t="s">
        <v>2195</v>
      </c>
      <c r="E923" s="40" t="s">
        <v>251</v>
      </c>
      <c r="F923" s="39" t="s">
        <v>41</v>
      </c>
      <c r="G923" s="39" t="s">
        <v>110</v>
      </c>
      <c r="H923" s="47">
        <v>0</v>
      </c>
      <c r="I923" s="36">
        <f t="shared" si="159"/>
        <v>0</v>
      </c>
      <c r="J923" s="37">
        <f t="shared" si="157"/>
        <v>0</v>
      </c>
      <c r="K923" s="37">
        <f t="shared" si="158"/>
        <v>0</v>
      </c>
      <c r="M923" s="37">
        <f t="shared" si="160"/>
        <v>0</v>
      </c>
      <c r="O923" s="4">
        <f t="shared" si="161"/>
        <v>0</v>
      </c>
      <c r="Q923" s="4">
        <f t="shared" si="162"/>
        <v>0</v>
      </c>
      <c r="S923" s="4">
        <f t="shared" si="163"/>
        <v>0</v>
      </c>
      <c r="U923" s="4">
        <f t="shared" si="166"/>
        <v>0</v>
      </c>
      <c r="W923" s="4">
        <f t="shared" si="164"/>
        <v>0</v>
      </c>
      <c r="Y923" s="4">
        <f t="shared" si="165"/>
        <v>0</v>
      </c>
    </row>
    <row r="924" spans="1:25" hidden="1" outlineLevel="1" x14ac:dyDescent="0.35">
      <c r="A924" s="39" t="s">
        <v>768</v>
      </c>
      <c r="B924" s="39" t="s">
        <v>109</v>
      </c>
      <c r="C924" s="39" t="s">
        <v>109</v>
      </c>
      <c r="D924" s="39" t="s">
        <v>856</v>
      </c>
      <c r="E924" s="40" t="s">
        <v>165</v>
      </c>
      <c r="F924" s="39" t="s">
        <v>41</v>
      </c>
      <c r="G924" s="39" t="s">
        <v>942</v>
      </c>
      <c r="H924" s="47">
        <v>0</v>
      </c>
      <c r="I924" s="36">
        <f t="shared" si="159"/>
        <v>0</v>
      </c>
      <c r="J924" s="37">
        <f t="shared" si="157"/>
        <v>0</v>
      </c>
      <c r="K924" s="37">
        <f t="shared" si="158"/>
        <v>0</v>
      </c>
      <c r="M924" s="37">
        <f t="shared" si="160"/>
        <v>0</v>
      </c>
      <c r="O924" s="4">
        <f t="shared" si="161"/>
        <v>0</v>
      </c>
      <c r="Q924" s="4">
        <f t="shared" si="162"/>
        <v>0</v>
      </c>
      <c r="S924" s="4">
        <f t="shared" si="163"/>
        <v>0</v>
      </c>
      <c r="U924" s="4">
        <f t="shared" si="166"/>
        <v>0</v>
      </c>
      <c r="W924" s="4">
        <f t="shared" si="164"/>
        <v>0</v>
      </c>
      <c r="Y924" s="4">
        <f t="shared" si="165"/>
        <v>0</v>
      </c>
    </row>
    <row r="925" spans="1:25" hidden="1" outlineLevel="1" x14ac:dyDescent="0.35">
      <c r="A925" s="39" t="s">
        <v>2196</v>
      </c>
      <c r="B925" s="39" t="s">
        <v>109</v>
      </c>
      <c r="C925" s="39" t="s">
        <v>2197</v>
      </c>
      <c r="D925" s="39" t="s">
        <v>2198</v>
      </c>
      <c r="E925" s="40" t="s">
        <v>255</v>
      </c>
      <c r="F925" s="39" t="s">
        <v>41</v>
      </c>
      <c r="G925" s="39" t="s">
        <v>110</v>
      </c>
      <c r="H925" s="47">
        <v>0</v>
      </c>
      <c r="I925" s="36">
        <f t="shared" si="159"/>
        <v>0</v>
      </c>
      <c r="J925" s="37">
        <f t="shared" si="157"/>
        <v>0</v>
      </c>
      <c r="K925" s="37">
        <f t="shared" si="158"/>
        <v>0</v>
      </c>
      <c r="M925" s="37">
        <f t="shared" si="160"/>
        <v>0</v>
      </c>
      <c r="O925" s="4">
        <f t="shared" si="161"/>
        <v>0</v>
      </c>
      <c r="Q925" s="4">
        <f t="shared" si="162"/>
        <v>0</v>
      </c>
      <c r="S925" s="4">
        <f t="shared" si="163"/>
        <v>0</v>
      </c>
      <c r="U925" s="4">
        <f t="shared" si="166"/>
        <v>0</v>
      </c>
      <c r="W925" s="4">
        <f t="shared" si="164"/>
        <v>0</v>
      </c>
      <c r="Y925" s="4">
        <f t="shared" si="165"/>
        <v>0</v>
      </c>
    </row>
    <row r="926" spans="1:25" hidden="1" outlineLevel="1" x14ac:dyDescent="0.35">
      <c r="A926" s="39" t="s">
        <v>2199</v>
      </c>
      <c r="B926" s="39" t="s">
        <v>109</v>
      </c>
      <c r="C926" s="39" t="s">
        <v>2200</v>
      </c>
      <c r="D926" s="39" t="s">
        <v>2201</v>
      </c>
      <c r="E926" s="40" t="s">
        <v>538</v>
      </c>
      <c r="F926" s="39" t="s">
        <v>41</v>
      </c>
      <c r="G926" s="39" t="s">
        <v>2202</v>
      </c>
      <c r="H926" s="47">
        <v>0</v>
      </c>
      <c r="I926" s="36">
        <f t="shared" si="159"/>
        <v>0</v>
      </c>
      <c r="J926" s="37">
        <f t="shared" si="157"/>
        <v>0</v>
      </c>
      <c r="K926" s="37">
        <f t="shared" si="158"/>
        <v>0</v>
      </c>
      <c r="M926" s="37">
        <f t="shared" si="160"/>
        <v>0</v>
      </c>
      <c r="O926" s="4">
        <f t="shared" si="161"/>
        <v>0</v>
      </c>
      <c r="Q926" s="4">
        <f t="shared" si="162"/>
        <v>0</v>
      </c>
      <c r="S926" s="4">
        <f t="shared" si="163"/>
        <v>0</v>
      </c>
      <c r="U926" s="4">
        <f t="shared" si="166"/>
        <v>0</v>
      </c>
      <c r="W926" s="4">
        <f t="shared" si="164"/>
        <v>0</v>
      </c>
      <c r="Y926" s="4">
        <f t="shared" si="165"/>
        <v>0</v>
      </c>
    </row>
    <row r="927" spans="1:25" hidden="1" outlineLevel="1" x14ac:dyDescent="0.35">
      <c r="A927" s="39" t="s">
        <v>2203</v>
      </c>
      <c r="B927" s="39" t="s">
        <v>109</v>
      </c>
      <c r="C927" s="39" t="s">
        <v>2204</v>
      </c>
      <c r="D927" s="39" t="s">
        <v>499</v>
      </c>
      <c r="E927" s="40" t="s">
        <v>66</v>
      </c>
      <c r="F927" s="39" t="s">
        <v>41</v>
      </c>
      <c r="G927" s="39" t="s">
        <v>110</v>
      </c>
      <c r="H927" s="47">
        <v>0</v>
      </c>
      <c r="I927" s="36">
        <f t="shared" si="159"/>
        <v>0</v>
      </c>
      <c r="J927" s="37">
        <f t="shared" si="157"/>
        <v>0</v>
      </c>
      <c r="K927" s="37">
        <f t="shared" si="158"/>
        <v>0</v>
      </c>
      <c r="M927" s="37">
        <f t="shared" si="160"/>
        <v>0</v>
      </c>
      <c r="O927" s="4">
        <f t="shared" si="161"/>
        <v>0</v>
      </c>
      <c r="Q927" s="4">
        <f t="shared" si="162"/>
        <v>0</v>
      </c>
      <c r="S927" s="4">
        <f t="shared" si="163"/>
        <v>0</v>
      </c>
      <c r="U927" s="4">
        <f t="shared" si="166"/>
        <v>0</v>
      </c>
      <c r="W927" s="4">
        <f t="shared" si="164"/>
        <v>0</v>
      </c>
      <c r="Y927" s="4">
        <f t="shared" si="165"/>
        <v>0</v>
      </c>
    </row>
    <row r="928" spans="1:25" hidden="1" outlineLevel="1" x14ac:dyDescent="0.35">
      <c r="A928" s="39" t="s">
        <v>2205</v>
      </c>
      <c r="B928" s="39" t="s">
        <v>109</v>
      </c>
      <c r="C928" s="39" t="s">
        <v>109</v>
      </c>
      <c r="D928" s="39" t="s">
        <v>65</v>
      </c>
      <c r="E928" s="40" t="s">
        <v>66</v>
      </c>
      <c r="F928" s="39" t="s">
        <v>41</v>
      </c>
      <c r="G928" s="39" t="s">
        <v>2206</v>
      </c>
      <c r="H928" s="47">
        <v>0</v>
      </c>
      <c r="I928" s="36">
        <f t="shared" si="159"/>
        <v>0</v>
      </c>
      <c r="J928" s="37">
        <f t="shared" si="157"/>
        <v>0</v>
      </c>
      <c r="K928" s="37">
        <f t="shared" si="158"/>
        <v>0</v>
      </c>
      <c r="M928" s="37">
        <f t="shared" si="160"/>
        <v>0</v>
      </c>
      <c r="O928" s="4">
        <f t="shared" si="161"/>
        <v>0</v>
      </c>
      <c r="Q928" s="4">
        <f t="shared" si="162"/>
        <v>0</v>
      </c>
      <c r="S928" s="4">
        <f t="shared" si="163"/>
        <v>0</v>
      </c>
      <c r="U928" s="4">
        <f t="shared" si="166"/>
        <v>0</v>
      </c>
      <c r="W928" s="4">
        <f t="shared" si="164"/>
        <v>0</v>
      </c>
      <c r="Y928" s="4">
        <f t="shared" si="165"/>
        <v>0</v>
      </c>
    </row>
    <row r="929" spans="1:25" hidden="1" outlineLevel="1" x14ac:dyDescent="0.35">
      <c r="A929" s="39" t="s">
        <v>2207</v>
      </c>
      <c r="B929" s="39" t="s">
        <v>109</v>
      </c>
      <c r="C929" s="39" t="s">
        <v>2208</v>
      </c>
      <c r="D929" s="39" t="s">
        <v>2209</v>
      </c>
      <c r="E929" s="40" t="s">
        <v>78</v>
      </c>
      <c r="F929" s="39" t="s">
        <v>41</v>
      </c>
      <c r="G929" s="39" t="s">
        <v>110</v>
      </c>
      <c r="H929" s="47">
        <v>0</v>
      </c>
      <c r="I929" s="36">
        <f t="shared" si="159"/>
        <v>0</v>
      </c>
      <c r="J929" s="37">
        <f t="shared" si="157"/>
        <v>0</v>
      </c>
      <c r="K929" s="37">
        <f t="shared" si="158"/>
        <v>0</v>
      </c>
      <c r="M929" s="37">
        <f t="shared" si="160"/>
        <v>0</v>
      </c>
      <c r="O929" s="4">
        <f t="shared" si="161"/>
        <v>0</v>
      </c>
      <c r="Q929" s="4">
        <f t="shared" si="162"/>
        <v>0</v>
      </c>
      <c r="S929" s="4">
        <f t="shared" si="163"/>
        <v>0</v>
      </c>
      <c r="U929" s="4">
        <f t="shared" si="166"/>
        <v>0</v>
      </c>
      <c r="W929" s="4">
        <f t="shared" si="164"/>
        <v>0</v>
      </c>
      <c r="Y929" s="4">
        <f t="shared" si="165"/>
        <v>0</v>
      </c>
    </row>
    <row r="930" spans="1:25" hidden="1" outlineLevel="1" x14ac:dyDescent="0.35">
      <c r="A930" s="39" t="s">
        <v>2210</v>
      </c>
      <c r="B930" s="39" t="s">
        <v>109</v>
      </c>
      <c r="C930" s="39" t="s">
        <v>109</v>
      </c>
      <c r="D930" s="39" t="s">
        <v>1349</v>
      </c>
      <c r="E930" s="40" t="s">
        <v>91</v>
      </c>
      <c r="F930" s="39" t="s">
        <v>41</v>
      </c>
      <c r="G930" s="39" t="s">
        <v>1350</v>
      </c>
      <c r="H930" s="47">
        <v>0</v>
      </c>
      <c r="I930" s="36">
        <f t="shared" si="159"/>
        <v>0</v>
      </c>
      <c r="J930" s="37">
        <f t="shared" si="157"/>
        <v>0</v>
      </c>
      <c r="K930" s="37">
        <f t="shared" si="158"/>
        <v>0</v>
      </c>
      <c r="M930" s="37">
        <f t="shared" si="160"/>
        <v>0</v>
      </c>
      <c r="O930" s="4">
        <f t="shared" si="161"/>
        <v>0</v>
      </c>
      <c r="Q930" s="4">
        <f t="shared" si="162"/>
        <v>0</v>
      </c>
      <c r="S930" s="4">
        <f t="shared" si="163"/>
        <v>0</v>
      </c>
      <c r="U930" s="4">
        <f t="shared" si="166"/>
        <v>0</v>
      </c>
      <c r="W930" s="4">
        <f t="shared" si="164"/>
        <v>0</v>
      </c>
      <c r="Y930" s="4">
        <f t="shared" si="165"/>
        <v>0</v>
      </c>
    </row>
    <row r="931" spans="1:25" hidden="1" outlineLevel="1" x14ac:dyDescent="0.35">
      <c r="A931" s="39" t="s">
        <v>2211</v>
      </c>
      <c r="B931" s="39" t="s">
        <v>109</v>
      </c>
      <c r="C931" s="39" t="s">
        <v>2212</v>
      </c>
      <c r="D931" s="39" t="s">
        <v>491</v>
      </c>
      <c r="E931" s="40" t="s">
        <v>91</v>
      </c>
      <c r="F931" s="39" t="s">
        <v>41</v>
      </c>
      <c r="G931" s="39" t="s">
        <v>2213</v>
      </c>
      <c r="H931" s="47">
        <v>0</v>
      </c>
      <c r="I931" s="36">
        <f t="shared" si="159"/>
        <v>0</v>
      </c>
      <c r="J931" s="37">
        <f t="shared" si="157"/>
        <v>0</v>
      </c>
      <c r="K931" s="37">
        <f t="shared" si="158"/>
        <v>0</v>
      </c>
      <c r="M931" s="37">
        <f t="shared" si="160"/>
        <v>0</v>
      </c>
      <c r="O931" s="4">
        <f t="shared" si="161"/>
        <v>0</v>
      </c>
      <c r="Q931" s="4">
        <f t="shared" si="162"/>
        <v>0</v>
      </c>
      <c r="S931" s="4">
        <f t="shared" si="163"/>
        <v>0</v>
      </c>
      <c r="U931" s="4">
        <f t="shared" si="166"/>
        <v>0</v>
      </c>
      <c r="W931" s="4">
        <f t="shared" si="164"/>
        <v>0</v>
      </c>
      <c r="Y931" s="4">
        <f t="shared" si="165"/>
        <v>0</v>
      </c>
    </row>
    <row r="932" spans="1:25" hidden="1" outlineLevel="1" x14ac:dyDescent="0.35">
      <c r="A932" s="39" t="s">
        <v>2214</v>
      </c>
      <c r="B932" s="39" t="s">
        <v>109</v>
      </c>
      <c r="C932" s="39" t="s">
        <v>2215</v>
      </c>
      <c r="D932" s="39" t="s">
        <v>2216</v>
      </c>
      <c r="E932" s="40" t="s">
        <v>367</v>
      </c>
      <c r="F932" s="39" t="s">
        <v>41</v>
      </c>
      <c r="G932" s="39" t="s">
        <v>110</v>
      </c>
      <c r="H932" s="47">
        <v>0</v>
      </c>
      <c r="I932" s="36">
        <f t="shared" si="159"/>
        <v>0</v>
      </c>
      <c r="J932" s="37">
        <f t="shared" si="157"/>
        <v>0</v>
      </c>
      <c r="K932" s="37">
        <f t="shared" si="158"/>
        <v>0</v>
      </c>
      <c r="M932" s="37">
        <f t="shared" si="160"/>
        <v>0</v>
      </c>
      <c r="O932" s="4">
        <f t="shared" si="161"/>
        <v>0</v>
      </c>
      <c r="Q932" s="4">
        <f t="shared" si="162"/>
        <v>0</v>
      </c>
      <c r="S932" s="4">
        <f t="shared" si="163"/>
        <v>0</v>
      </c>
      <c r="U932" s="4">
        <f t="shared" si="166"/>
        <v>0</v>
      </c>
      <c r="W932" s="4">
        <f t="shared" si="164"/>
        <v>0</v>
      </c>
      <c r="Y932" s="4">
        <f t="shared" si="165"/>
        <v>0</v>
      </c>
    </row>
    <row r="933" spans="1:25" hidden="1" outlineLevel="1" x14ac:dyDescent="0.35">
      <c r="A933" s="39" t="s">
        <v>2217</v>
      </c>
      <c r="B933" s="39" t="s">
        <v>109</v>
      </c>
      <c r="C933" s="39" t="s">
        <v>2218</v>
      </c>
      <c r="D933" s="39" t="s">
        <v>2219</v>
      </c>
      <c r="E933" s="40" t="s">
        <v>302</v>
      </c>
      <c r="F933" s="39" t="s">
        <v>41</v>
      </c>
      <c r="G933" s="39" t="s">
        <v>2220</v>
      </c>
      <c r="H933" s="47">
        <v>0</v>
      </c>
      <c r="I933" s="36">
        <f t="shared" si="159"/>
        <v>0</v>
      </c>
      <c r="J933" s="37">
        <f t="shared" si="157"/>
        <v>0</v>
      </c>
      <c r="K933" s="37">
        <f t="shared" si="158"/>
        <v>0</v>
      </c>
      <c r="M933" s="37">
        <f t="shared" si="160"/>
        <v>0</v>
      </c>
      <c r="O933" s="4">
        <f t="shared" si="161"/>
        <v>0</v>
      </c>
      <c r="Q933" s="4">
        <f t="shared" si="162"/>
        <v>0</v>
      </c>
      <c r="S933" s="4">
        <f t="shared" si="163"/>
        <v>0</v>
      </c>
      <c r="U933" s="4">
        <f t="shared" si="166"/>
        <v>0</v>
      </c>
      <c r="W933" s="4">
        <f t="shared" si="164"/>
        <v>0</v>
      </c>
      <c r="Y933" s="4">
        <f t="shared" si="165"/>
        <v>0</v>
      </c>
    </row>
    <row r="934" spans="1:25" hidden="1" outlineLevel="1" x14ac:dyDescent="0.35">
      <c r="A934" s="39" t="s">
        <v>2221</v>
      </c>
      <c r="B934" s="39" t="s">
        <v>109</v>
      </c>
      <c r="C934" s="39" t="s">
        <v>2222</v>
      </c>
      <c r="D934" s="39" t="s">
        <v>2223</v>
      </c>
      <c r="E934" s="40" t="s">
        <v>393</v>
      </c>
      <c r="F934" s="39" t="s">
        <v>41</v>
      </c>
      <c r="G934" s="39" t="s">
        <v>2224</v>
      </c>
      <c r="H934" s="47">
        <v>0</v>
      </c>
      <c r="I934" s="36">
        <f t="shared" si="159"/>
        <v>0</v>
      </c>
      <c r="J934" s="37">
        <f t="shared" si="157"/>
        <v>0</v>
      </c>
      <c r="K934" s="37">
        <f t="shared" si="158"/>
        <v>0</v>
      </c>
      <c r="M934" s="37">
        <f t="shared" si="160"/>
        <v>0</v>
      </c>
      <c r="O934" s="4">
        <f t="shared" si="161"/>
        <v>0</v>
      </c>
      <c r="Q934" s="4">
        <f t="shared" si="162"/>
        <v>0</v>
      </c>
      <c r="S934" s="4">
        <f t="shared" si="163"/>
        <v>0</v>
      </c>
      <c r="U934" s="4">
        <f t="shared" si="166"/>
        <v>0</v>
      </c>
      <c r="W934" s="4">
        <f t="shared" si="164"/>
        <v>0</v>
      </c>
      <c r="Y934" s="4">
        <f t="shared" si="165"/>
        <v>0</v>
      </c>
    </row>
    <row r="935" spans="1:25" hidden="1" outlineLevel="1" x14ac:dyDescent="0.35">
      <c r="A935" s="39" t="s">
        <v>2225</v>
      </c>
      <c r="B935" s="39" t="s">
        <v>109</v>
      </c>
      <c r="C935" s="39" t="s">
        <v>2226</v>
      </c>
      <c r="D935" s="39" t="s">
        <v>2227</v>
      </c>
      <c r="E935" s="40" t="s">
        <v>200</v>
      </c>
      <c r="F935" s="39" t="s">
        <v>41</v>
      </c>
      <c r="G935" s="39" t="s">
        <v>2228</v>
      </c>
      <c r="H935" s="47">
        <v>0</v>
      </c>
      <c r="I935" s="36">
        <f t="shared" si="159"/>
        <v>0</v>
      </c>
      <c r="J935" s="37">
        <f t="shared" si="157"/>
        <v>0</v>
      </c>
      <c r="K935" s="37">
        <f t="shared" si="158"/>
        <v>0</v>
      </c>
      <c r="M935" s="37">
        <f t="shared" si="160"/>
        <v>0</v>
      </c>
      <c r="O935" s="4">
        <f t="shared" si="161"/>
        <v>0</v>
      </c>
      <c r="Q935" s="4">
        <f t="shared" si="162"/>
        <v>0</v>
      </c>
      <c r="S935" s="4">
        <f t="shared" si="163"/>
        <v>0</v>
      </c>
      <c r="U935" s="4">
        <f t="shared" si="166"/>
        <v>0</v>
      </c>
      <c r="W935" s="4">
        <f t="shared" si="164"/>
        <v>0</v>
      </c>
      <c r="Y935" s="4">
        <f t="shared" si="165"/>
        <v>0</v>
      </c>
    </row>
    <row r="936" spans="1:25" hidden="1" outlineLevel="1" x14ac:dyDescent="0.35">
      <c r="A936" s="39" t="s">
        <v>2229</v>
      </c>
      <c r="B936" s="39" t="s">
        <v>109</v>
      </c>
      <c r="C936" s="39" t="s">
        <v>2230</v>
      </c>
      <c r="D936" s="39" t="s">
        <v>1616</v>
      </c>
      <c r="E936" s="40" t="s">
        <v>70</v>
      </c>
      <c r="F936" s="39" t="s">
        <v>41</v>
      </c>
      <c r="G936" s="39" t="s">
        <v>110</v>
      </c>
      <c r="H936" s="47">
        <v>0</v>
      </c>
      <c r="I936" s="36">
        <f t="shared" si="159"/>
        <v>0</v>
      </c>
      <c r="J936" s="37">
        <f t="shared" si="157"/>
        <v>0</v>
      </c>
      <c r="K936" s="37">
        <f t="shared" si="158"/>
        <v>0</v>
      </c>
      <c r="M936" s="37">
        <f t="shared" si="160"/>
        <v>0</v>
      </c>
      <c r="O936" s="4">
        <f t="shared" si="161"/>
        <v>0</v>
      </c>
      <c r="Q936" s="4">
        <f t="shared" si="162"/>
        <v>0</v>
      </c>
      <c r="S936" s="4">
        <f t="shared" si="163"/>
        <v>0</v>
      </c>
      <c r="U936" s="4">
        <f t="shared" si="166"/>
        <v>0</v>
      </c>
      <c r="W936" s="4">
        <f t="shared" si="164"/>
        <v>0</v>
      </c>
      <c r="Y936" s="4">
        <f t="shared" si="165"/>
        <v>0</v>
      </c>
    </row>
    <row r="937" spans="1:25" hidden="1" outlineLevel="1" x14ac:dyDescent="0.35">
      <c r="A937" s="39" t="s">
        <v>2231</v>
      </c>
      <c r="B937" s="39" t="s">
        <v>109</v>
      </c>
      <c r="C937" s="39" t="s">
        <v>2232</v>
      </c>
      <c r="D937" s="39" t="s">
        <v>795</v>
      </c>
      <c r="E937" s="40" t="s">
        <v>51</v>
      </c>
      <c r="F937" s="39" t="s">
        <v>41</v>
      </c>
      <c r="G937" s="39" t="s">
        <v>2228</v>
      </c>
      <c r="H937" s="47">
        <v>0</v>
      </c>
      <c r="I937" s="36">
        <f t="shared" si="159"/>
        <v>0</v>
      </c>
      <c r="J937" s="37">
        <f t="shared" si="157"/>
        <v>0</v>
      </c>
      <c r="K937" s="37">
        <f t="shared" si="158"/>
        <v>0</v>
      </c>
      <c r="M937" s="37">
        <f t="shared" si="160"/>
        <v>0</v>
      </c>
      <c r="O937" s="4">
        <f t="shared" si="161"/>
        <v>0</v>
      </c>
      <c r="Q937" s="4">
        <f t="shared" si="162"/>
        <v>0</v>
      </c>
      <c r="S937" s="4">
        <f t="shared" si="163"/>
        <v>0</v>
      </c>
      <c r="U937" s="4">
        <f t="shared" si="166"/>
        <v>0</v>
      </c>
      <c r="W937" s="4">
        <f t="shared" si="164"/>
        <v>0</v>
      </c>
      <c r="Y937" s="4">
        <f t="shared" si="165"/>
        <v>0</v>
      </c>
    </row>
    <row r="938" spans="1:25" hidden="1" outlineLevel="1" x14ac:dyDescent="0.35">
      <c r="A938" s="39" t="s">
        <v>2233</v>
      </c>
      <c r="B938" s="39" t="s">
        <v>109</v>
      </c>
      <c r="C938" s="39" t="s">
        <v>109</v>
      </c>
      <c r="D938" s="39" t="s">
        <v>624</v>
      </c>
      <c r="E938" s="40" t="s">
        <v>146</v>
      </c>
      <c r="F938" s="39" t="s">
        <v>41</v>
      </c>
      <c r="G938" s="39" t="s">
        <v>2234</v>
      </c>
      <c r="H938" s="47">
        <v>0</v>
      </c>
      <c r="I938" s="36">
        <f t="shared" si="159"/>
        <v>0</v>
      </c>
      <c r="J938" s="37">
        <f t="shared" si="157"/>
        <v>0</v>
      </c>
      <c r="K938" s="37">
        <f t="shared" si="158"/>
        <v>0</v>
      </c>
      <c r="M938" s="37">
        <f t="shared" si="160"/>
        <v>0</v>
      </c>
      <c r="O938" s="4">
        <f t="shared" si="161"/>
        <v>0</v>
      </c>
      <c r="Q938" s="4">
        <f t="shared" si="162"/>
        <v>0</v>
      </c>
      <c r="S938" s="4">
        <f t="shared" si="163"/>
        <v>0</v>
      </c>
      <c r="U938" s="4">
        <f t="shared" si="166"/>
        <v>0</v>
      </c>
      <c r="W938" s="4">
        <f t="shared" si="164"/>
        <v>0</v>
      </c>
      <c r="Y938" s="4">
        <f t="shared" si="165"/>
        <v>0</v>
      </c>
    </row>
    <row r="939" spans="1:25" hidden="1" outlineLevel="1" x14ac:dyDescent="0.35">
      <c r="A939" s="39" t="s">
        <v>1155</v>
      </c>
      <c r="B939" s="39" t="s">
        <v>109</v>
      </c>
      <c r="C939" s="39" t="s">
        <v>109</v>
      </c>
      <c r="D939" s="39" t="s">
        <v>2235</v>
      </c>
      <c r="E939" s="40" t="s">
        <v>114</v>
      </c>
      <c r="F939" s="39" t="s">
        <v>41</v>
      </c>
      <c r="G939" s="39" t="s">
        <v>2236</v>
      </c>
      <c r="H939" s="47">
        <v>0</v>
      </c>
      <c r="I939" s="36">
        <f t="shared" si="159"/>
        <v>0</v>
      </c>
      <c r="J939" s="37">
        <f t="shared" si="157"/>
        <v>0</v>
      </c>
      <c r="K939" s="37">
        <f t="shared" si="158"/>
        <v>0</v>
      </c>
      <c r="M939" s="37">
        <f t="shared" si="160"/>
        <v>0</v>
      </c>
      <c r="O939" s="4">
        <f t="shared" si="161"/>
        <v>0</v>
      </c>
      <c r="Q939" s="4">
        <f t="shared" si="162"/>
        <v>0</v>
      </c>
      <c r="S939" s="4">
        <f t="shared" si="163"/>
        <v>0</v>
      </c>
      <c r="U939" s="4">
        <f t="shared" si="166"/>
        <v>0</v>
      </c>
      <c r="W939" s="4">
        <f t="shared" si="164"/>
        <v>0</v>
      </c>
      <c r="Y939" s="4">
        <f t="shared" si="165"/>
        <v>0</v>
      </c>
    </row>
    <row r="940" spans="1:25" hidden="1" outlineLevel="1" x14ac:dyDescent="0.35">
      <c r="A940" s="39" t="s">
        <v>2237</v>
      </c>
      <c r="B940" s="39" t="s">
        <v>109</v>
      </c>
      <c r="C940" s="39" t="s">
        <v>109</v>
      </c>
      <c r="D940" s="39" t="s">
        <v>1403</v>
      </c>
      <c r="E940" s="40" t="s">
        <v>302</v>
      </c>
      <c r="F940" s="39" t="s">
        <v>41</v>
      </c>
      <c r="G940" s="39" t="s">
        <v>110</v>
      </c>
      <c r="H940" s="47">
        <v>0</v>
      </c>
      <c r="I940" s="36">
        <f t="shared" si="159"/>
        <v>0</v>
      </c>
      <c r="J940" s="37">
        <f t="shared" ref="J940:J1006" si="167">H940*$F$7</f>
        <v>0</v>
      </c>
      <c r="K940" s="37">
        <f t="shared" ref="K940:K1006" si="168">H940*$G$7</f>
        <v>0</v>
      </c>
      <c r="M940" s="37">
        <f t="shared" si="160"/>
        <v>0</v>
      </c>
      <c r="O940" s="4">
        <f t="shared" si="161"/>
        <v>0</v>
      </c>
      <c r="Q940" s="4">
        <f t="shared" si="162"/>
        <v>0</v>
      </c>
      <c r="S940" s="4">
        <f t="shared" si="163"/>
        <v>0</v>
      </c>
      <c r="U940" s="4">
        <f t="shared" si="166"/>
        <v>0</v>
      </c>
      <c r="W940" s="4">
        <f t="shared" si="164"/>
        <v>0</v>
      </c>
      <c r="Y940" s="4">
        <f t="shared" si="165"/>
        <v>0</v>
      </c>
    </row>
    <row r="941" spans="1:25" hidden="1" outlineLevel="1" x14ac:dyDescent="0.35">
      <c r="A941" s="39" t="s">
        <v>2238</v>
      </c>
      <c r="B941" s="39" t="s">
        <v>109</v>
      </c>
      <c r="C941" s="39" t="s">
        <v>109</v>
      </c>
      <c r="D941" s="39" t="s">
        <v>2239</v>
      </c>
      <c r="E941" s="40" t="s">
        <v>302</v>
      </c>
      <c r="F941" s="39" t="s">
        <v>41</v>
      </c>
      <c r="G941" s="39" t="s">
        <v>110</v>
      </c>
      <c r="H941" s="47">
        <v>0</v>
      </c>
      <c r="I941" s="36">
        <f t="shared" ref="I941:I1004" si="169">$E$7*H941</f>
        <v>0</v>
      </c>
      <c r="J941" s="37">
        <f t="shared" si="167"/>
        <v>0</v>
      </c>
      <c r="K941" s="37">
        <f t="shared" si="168"/>
        <v>0</v>
      </c>
      <c r="M941" s="37">
        <f t="shared" ref="M941:M1004" si="170">0.5*(AVERAGE(J941:K941))</f>
        <v>0</v>
      </c>
      <c r="O941" s="4">
        <f t="shared" ref="O941:O1004" si="171">I941*$E$3</f>
        <v>0</v>
      </c>
      <c r="Q941" s="4">
        <f t="shared" ref="Q941:Q1004" si="172">I941*$E$3/12</f>
        <v>0</v>
      </c>
      <c r="S941" s="4">
        <f t="shared" ref="S941:S1004" si="173">Q941*$E$4</f>
        <v>0</v>
      </c>
      <c r="U941" s="4">
        <f t="shared" si="166"/>
        <v>0</v>
      </c>
      <c r="W941" s="4">
        <f t="shared" ref="W941:W1004" si="174">S941*$E$5</f>
        <v>0</v>
      </c>
      <c r="Y941" s="4">
        <f t="shared" ref="Y941:Y1004" si="175">M941*$E$6</f>
        <v>0</v>
      </c>
    </row>
    <row r="942" spans="1:25" hidden="1" outlineLevel="1" x14ac:dyDescent="0.35">
      <c r="A942" s="39" t="s">
        <v>2240</v>
      </c>
      <c r="B942" s="39" t="s">
        <v>109</v>
      </c>
      <c r="C942" s="39" t="s">
        <v>109</v>
      </c>
      <c r="D942" s="39" t="s">
        <v>848</v>
      </c>
      <c r="E942" s="40" t="s">
        <v>165</v>
      </c>
      <c r="F942" s="39" t="s">
        <v>41</v>
      </c>
      <c r="G942" s="39" t="s">
        <v>2241</v>
      </c>
      <c r="H942" s="47">
        <v>0</v>
      </c>
      <c r="I942" s="36">
        <f t="shared" si="169"/>
        <v>0</v>
      </c>
      <c r="J942" s="37">
        <f t="shared" si="167"/>
        <v>0</v>
      </c>
      <c r="K942" s="37">
        <f t="shared" si="168"/>
        <v>0</v>
      </c>
      <c r="M942" s="37">
        <f t="shared" si="170"/>
        <v>0</v>
      </c>
      <c r="O942" s="4">
        <f t="shared" si="171"/>
        <v>0</v>
      </c>
      <c r="Q942" s="4">
        <f t="shared" si="172"/>
        <v>0</v>
      </c>
      <c r="S942" s="4">
        <f t="shared" si="173"/>
        <v>0</v>
      </c>
      <c r="U942" s="4">
        <f t="shared" ref="U942:U1005" si="176">W942*12</f>
        <v>0</v>
      </c>
      <c r="W942" s="4">
        <f t="shared" si="174"/>
        <v>0</v>
      </c>
      <c r="Y942" s="4">
        <f t="shared" si="175"/>
        <v>0</v>
      </c>
    </row>
    <row r="943" spans="1:25" hidden="1" outlineLevel="1" x14ac:dyDescent="0.35">
      <c r="A943" s="39" t="s">
        <v>2242</v>
      </c>
      <c r="B943" s="39" t="s">
        <v>109</v>
      </c>
      <c r="C943" s="39" t="s">
        <v>109</v>
      </c>
      <c r="D943" s="39" t="s">
        <v>848</v>
      </c>
      <c r="E943" s="40" t="s">
        <v>230</v>
      </c>
      <c r="F943" s="39" t="s">
        <v>41</v>
      </c>
      <c r="G943" s="39" t="s">
        <v>110</v>
      </c>
      <c r="H943" s="47">
        <v>0</v>
      </c>
      <c r="I943" s="36">
        <f t="shared" si="169"/>
        <v>0</v>
      </c>
      <c r="J943" s="37">
        <f t="shared" si="167"/>
        <v>0</v>
      </c>
      <c r="K943" s="37">
        <f t="shared" si="168"/>
        <v>0</v>
      </c>
      <c r="M943" s="37">
        <f t="shared" si="170"/>
        <v>0</v>
      </c>
      <c r="O943" s="4">
        <f t="shared" si="171"/>
        <v>0</v>
      </c>
      <c r="Q943" s="4">
        <f t="shared" si="172"/>
        <v>0</v>
      </c>
      <c r="S943" s="4">
        <f t="shared" si="173"/>
        <v>0</v>
      </c>
      <c r="U943" s="4">
        <f t="shared" si="176"/>
        <v>0</v>
      </c>
      <c r="W943" s="4">
        <f t="shared" si="174"/>
        <v>0</v>
      </c>
      <c r="Y943" s="4">
        <f t="shared" si="175"/>
        <v>0</v>
      </c>
    </row>
    <row r="944" spans="1:25" hidden="1" outlineLevel="1" x14ac:dyDescent="0.35">
      <c r="A944" s="39" t="s">
        <v>2243</v>
      </c>
      <c r="B944" s="39" t="s">
        <v>109</v>
      </c>
      <c r="C944" s="39" t="s">
        <v>109</v>
      </c>
      <c r="D944" s="39" t="s">
        <v>2244</v>
      </c>
      <c r="E944" s="40" t="s">
        <v>95</v>
      </c>
      <c r="F944" s="39" t="s">
        <v>41</v>
      </c>
      <c r="G944" s="39" t="s">
        <v>110</v>
      </c>
      <c r="H944" s="47">
        <v>0</v>
      </c>
      <c r="I944" s="36">
        <f t="shared" si="169"/>
        <v>0</v>
      </c>
      <c r="J944" s="37">
        <f t="shared" si="167"/>
        <v>0</v>
      </c>
      <c r="K944" s="37">
        <f t="shared" si="168"/>
        <v>0</v>
      </c>
      <c r="M944" s="37">
        <f t="shared" si="170"/>
        <v>0</v>
      </c>
      <c r="O944" s="4">
        <f t="shared" si="171"/>
        <v>0</v>
      </c>
      <c r="Q944" s="4">
        <f t="shared" si="172"/>
        <v>0</v>
      </c>
      <c r="S944" s="4">
        <f t="shared" si="173"/>
        <v>0</v>
      </c>
      <c r="U944" s="4">
        <f t="shared" si="176"/>
        <v>0</v>
      </c>
      <c r="W944" s="4">
        <f t="shared" si="174"/>
        <v>0</v>
      </c>
      <c r="Y944" s="4">
        <f t="shared" si="175"/>
        <v>0</v>
      </c>
    </row>
    <row r="945" spans="1:25" hidden="1" outlineLevel="1" x14ac:dyDescent="0.35">
      <c r="A945" s="39" t="s">
        <v>2245</v>
      </c>
      <c r="B945" s="39" t="s">
        <v>109</v>
      </c>
      <c r="C945" s="39" t="s">
        <v>109</v>
      </c>
      <c r="D945" s="39" t="s">
        <v>109</v>
      </c>
      <c r="E945" s="40" t="s">
        <v>109</v>
      </c>
      <c r="F945" s="39" t="s">
        <v>41</v>
      </c>
      <c r="G945" s="39" t="s">
        <v>110</v>
      </c>
      <c r="H945" s="47">
        <v>0</v>
      </c>
      <c r="I945" s="36">
        <f t="shared" si="169"/>
        <v>0</v>
      </c>
      <c r="J945" s="37">
        <f t="shared" si="167"/>
        <v>0</v>
      </c>
      <c r="K945" s="37">
        <f t="shared" si="168"/>
        <v>0</v>
      </c>
      <c r="M945" s="37">
        <f t="shared" si="170"/>
        <v>0</v>
      </c>
      <c r="O945" s="4">
        <f t="shared" si="171"/>
        <v>0</v>
      </c>
      <c r="Q945" s="4">
        <f t="shared" si="172"/>
        <v>0</v>
      </c>
      <c r="S945" s="4">
        <f t="shared" si="173"/>
        <v>0</v>
      </c>
      <c r="U945" s="4">
        <f t="shared" si="176"/>
        <v>0</v>
      </c>
      <c r="W945" s="4">
        <f t="shared" si="174"/>
        <v>0</v>
      </c>
      <c r="Y945" s="4">
        <f t="shared" si="175"/>
        <v>0</v>
      </c>
    </row>
    <row r="946" spans="1:25" hidden="1" outlineLevel="1" x14ac:dyDescent="0.35">
      <c r="A946" s="39" t="s">
        <v>2246</v>
      </c>
      <c r="B946" s="39" t="s">
        <v>109</v>
      </c>
      <c r="C946" s="39" t="s">
        <v>2247</v>
      </c>
      <c r="D946" s="39" t="s">
        <v>2248</v>
      </c>
      <c r="E946" s="40" t="s">
        <v>538</v>
      </c>
      <c r="F946" s="39" t="s">
        <v>41</v>
      </c>
      <c r="G946" s="39" t="s">
        <v>110</v>
      </c>
      <c r="H946" s="47">
        <v>0</v>
      </c>
      <c r="I946" s="36">
        <f t="shared" si="169"/>
        <v>0</v>
      </c>
      <c r="J946" s="37">
        <f t="shared" si="167"/>
        <v>0</v>
      </c>
      <c r="K946" s="37">
        <f t="shared" si="168"/>
        <v>0</v>
      </c>
      <c r="M946" s="37">
        <f t="shared" si="170"/>
        <v>0</v>
      </c>
      <c r="O946" s="4">
        <f t="shared" si="171"/>
        <v>0</v>
      </c>
      <c r="Q946" s="4">
        <f t="shared" si="172"/>
        <v>0</v>
      </c>
      <c r="S946" s="4">
        <f t="shared" si="173"/>
        <v>0</v>
      </c>
      <c r="U946" s="4">
        <f t="shared" si="176"/>
        <v>0</v>
      </c>
      <c r="W946" s="4">
        <f t="shared" si="174"/>
        <v>0</v>
      </c>
      <c r="Y946" s="4">
        <f t="shared" si="175"/>
        <v>0</v>
      </c>
    </row>
    <row r="947" spans="1:25" hidden="1" outlineLevel="1" x14ac:dyDescent="0.35">
      <c r="A947" s="39" t="s">
        <v>2249</v>
      </c>
      <c r="B947" s="39" t="s">
        <v>109</v>
      </c>
      <c r="C947" s="39" t="s">
        <v>2250</v>
      </c>
      <c r="D947" s="39" t="s">
        <v>2251</v>
      </c>
      <c r="E947" s="40" t="s">
        <v>628</v>
      </c>
      <c r="F947" s="39" t="s">
        <v>41</v>
      </c>
      <c r="G947" s="39" t="s">
        <v>2252</v>
      </c>
      <c r="H947" s="47">
        <v>0</v>
      </c>
      <c r="I947" s="36">
        <f t="shared" si="169"/>
        <v>0</v>
      </c>
      <c r="J947" s="37">
        <f t="shared" si="167"/>
        <v>0</v>
      </c>
      <c r="K947" s="37">
        <f t="shared" si="168"/>
        <v>0</v>
      </c>
      <c r="M947" s="37">
        <f t="shared" si="170"/>
        <v>0</v>
      </c>
      <c r="O947" s="4">
        <f t="shared" si="171"/>
        <v>0</v>
      </c>
      <c r="Q947" s="4">
        <f t="shared" si="172"/>
        <v>0</v>
      </c>
      <c r="S947" s="4">
        <f t="shared" si="173"/>
        <v>0</v>
      </c>
      <c r="U947" s="4">
        <f t="shared" si="176"/>
        <v>0</v>
      </c>
      <c r="W947" s="4">
        <f t="shared" si="174"/>
        <v>0</v>
      </c>
      <c r="Y947" s="4">
        <f t="shared" si="175"/>
        <v>0</v>
      </c>
    </row>
    <row r="948" spans="1:25" hidden="1" outlineLevel="1" x14ac:dyDescent="0.35">
      <c r="A948" s="39" t="s">
        <v>2253</v>
      </c>
      <c r="B948" s="39" t="s">
        <v>109</v>
      </c>
      <c r="C948" s="39" t="s">
        <v>2254</v>
      </c>
      <c r="D948" s="39" t="s">
        <v>2255</v>
      </c>
      <c r="E948" s="40" t="s">
        <v>70</v>
      </c>
      <c r="F948" s="39" t="s">
        <v>41</v>
      </c>
      <c r="G948" s="39" t="s">
        <v>110</v>
      </c>
      <c r="H948" s="47">
        <v>0</v>
      </c>
      <c r="I948" s="36">
        <f t="shared" si="169"/>
        <v>0</v>
      </c>
      <c r="J948" s="37">
        <f t="shared" si="167"/>
        <v>0</v>
      </c>
      <c r="K948" s="37">
        <f t="shared" si="168"/>
        <v>0</v>
      </c>
      <c r="M948" s="37">
        <f t="shared" si="170"/>
        <v>0</v>
      </c>
      <c r="O948" s="4">
        <f t="shared" si="171"/>
        <v>0</v>
      </c>
      <c r="Q948" s="4">
        <f t="shared" si="172"/>
        <v>0</v>
      </c>
      <c r="S948" s="4">
        <f t="shared" si="173"/>
        <v>0</v>
      </c>
      <c r="U948" s="4">
        <f t="shared" si="176"/>
        <v>0</v>
      </c>
      <c r="W948" s="4">
        <f t="shared" si="174"/>
        <v>0</v>
      </c>
      <c r="Y948" s="4">
        <f t="shared" si="175"/>
        <v>0</v>
      </c>
    </row>
    <row r="949" spans="1:25" hidden="1" outlineLevel="1" x14ac:dyDescent="0.35">
      <c r="A949" s="39" t="s">
        <v>2256</v>
      </c>
      <c r="B949" s="39" t="s">
        <v>109</v>
      </c>
      <c r="C949" s="39" t="s">
        <v>109</v>
      </c>
      <c r="D949" s="39" t="s">
        <v>2257</v>
      </c>
      <c r="E949" s="40" t="s">
        <v>40</v>
      </c>
      <c r="F949" s="39" t="s">
        <v>41</v>
      </c>
      <c r="G949" s="39" t="s">
        <v>2258</v>
      </c>
      <c r="H949" s="47">
        <v>0</v>
      </c>
      <c r="I949" s="36">
        <f t="shared" si="169"/>
        <v>0</v>
      </c>
      <c r="J949" s="37">
        <f t="shared" si="167"/>
        <v>0</v>
      </c>
      <c r="K949" s="37">
        <f t="shared" si="168"/>
        <v>0</v>
      </c>
      <c r="M949" s="37">
        <f t="shared" si="170"/>
        <v>0</v>
      </c>
      <c r="O949" s="4">
        <f t="shared" si="171"/>
        <v>0</v>
      </c>
      <c r="Q949" s="4">
        <f t="shared" si="172"/>
        <v>0</v>
      </c>
      <c r="S949" s="4">
        <f t="shared" si="173"/>
        <v>0</v>
      </c>
      <c r="U949" s="4">
        <f t="shared" si="176"/>
        <v>0</v>
      </c>
      <c r="W949" s="4">
        <f t="shared" si="174"/>
        <v>0</v>
      </c>
      <c r="Y949" s="4">
        <f t="shared" si="175"/>
        <v>0</v>
      </c>
    </row>
    <row r="950" spans="1:25" hidden="1" outlineLevel="1" x14ac:dyDescent="0.35">
      <c r="A950" s="39" t="s">
        <v>2259</v>
      </c>
      <c r="B950" s="39" t="s">
        <v>109</v>
      </c>
      <c r="C950" s="39" t="s">
        <v>2260</v>
      </c>
      <c r="D950" s="39" t="s">
        <v>2261</v>
      </c>
      <c r="E950" s="40" t="s">
        <v>56</v>
      </c>
      <c r="F950" s="39" t="s">
        <v>41</v>
      </c>
      <c r="G950" s="39" t="s">
        <v>2262</v>
      </c>
      <c r="H950" s="47">
        <v>0</v>
      </c>
      <c r="I950" s="36">
        <f t="shared" si="169"/>
        <v>0</v>
      </c>
      <c r="J950" s="37">
        <f t="shared" si="167"/>
        <v>0</v>
      </c>
      <c r="K950" s="37">
        <f t="shared" si="168"/>
        <v>0</v>
      </c>
      <c r="M950" s="37">
        <f t="shared" si="170"/>
        <v>0</v>
      </c>
      <c r="O950" s="4">
        <f t="shared" si="171"/>
        <v>0</v>
      </c>
      <c r="Q950" s="4">
        <f t="shared" si="172"/>
        <v>0</v>
      </c>
      <c r="S950" s="4">
        <f t="shared" si="173"/>
        <v>0</v>
      </c>
      <c r="U950" s="4">
        <f t="shared" si="176"/>
        <v>0</v>
      </c>
      <c r="W950" s="4">
        <f t="shared" si="174"/>
        <v>0</v>
      </c>
      <c r="Y950" s="4">
        <f t="shared" si="175"/>
        <v>0</v>
      </c>
    </row>
    <row r="951" spans="1:25" hidden="1" outlineLevel="1" x14ac:dyDescent="0.35">
      <c r="A951" s="39" t="s">
        <v>2263</v>
      </c>
      <c r="B951" s="39" t="s">
        <v>109</v>
      </c>
      <c r="C951" s="39" t="s">
        <v>109</v>
      </c>
      <c r="D951" s="39" t="s">
        <v>109</v>
      </c>
      <c r="E951" s="40" t="s">
        <v>109</v>
      </c>
      <c r="F951" s="39" t="s">
        <v>41</v>
      </c>
      <c r="G951" s="39" t="s">
        <v>110</v>
      </c>
      <c r="H951" s="47">
        <v>0</v>
      </c>
      <c r="I951" s="36">
        <f t="shared" si="169"/>
        <v>0</v>
      </c>
      <c r="J951" s="37">
        <f t="shared" si="167"/>
        <v>0</v>
      </c>
      <c r="K951" s="37">
        <f t="shared" si="168"/>
        <v>0</v>
      </c>
      <c r="M951" s="37">
        <f t="shared" si="170"/>
        <v>0</v>
      </c>
      <c r="O951" s="4">
        <f t="shared" si="171"/>
        <v>0</v>
      </c>
      <c r="Q951" s="4">
        <f t="shared" si="172"/>
        <v>0</v>
      </c>
      <c r="S951" s="4">
        <f t="shared" si="173"/>
        <v>0</v>
      </c>
      <c r="U951" s="4">
        <f t="shared" si="176"/>
        <v>0</v>
      </c>
      <c r="W951" s="4">
        <f t="shared" si="174"/>
        <v>0</v>
      </c>
      <c r="Y951" s="4">
        <f t="shared" si="175"/>
        <v>0</v>
      </c>
    </row>
    <row r="952" spans="1:25" hidden="1" outlineLevel="1" x14ac:dyDescent="0.35">
      <c r="A952" s="39" t="s">
        <v>2264</v>
      </c>
      <c r="B952" s="39" t="s">
        <v>109</v>
      </c>
      <c r="C952" s="39" t="s">
        <v>109</v>
      </c>
      <c r="D952" s="39" t="s">
        <v>2265</v>
      </c>
      <c r="E952" s="40" t="s">
        <v>784</v>
      </c>
      <c r="F952" s="39" t="s">
        <v>41</v>
      </c>
      <c r="G952" s="39" t="s">
        <v>110</v>
      </c>
      <c r="H952" s="47">
        <v>0</v>
      </c>
      <c r="I952" s="36">
        <f t="shared" si="169"/>
        <v>0</v>
      </c>
      <c r="J952" s="37">
        <f t="shared" si="167"/>
        <v>0</v>
      </c>
      <c r="K952" s="37">
        <f t="shared" si="168"/>
        <v>0</v>
      </c>
      <c r="M952" s="37">
        <f t="shared" si="170"/>
        <v>0</v>
      </c>
      <c r="O952" s="4">
        <f t="shared" si="171"/>
        <v>0</v>
      </c>
      <c r="Q952" s="4">
        <f t="shared" si="172"/>
        <v>0</v>
      </c>
      <c r="S952" s="4">
        <f t="shared" si="173"/>
        <v>0</v>
      </c>
      <c r="U952" s="4">
        <f t="shared" si="176"/>
        <v>0</v>
      </c>
      <c r="W952" s="4">
        <f t="shared" si="174"/>
        <v>0</v>
      </c>
      <c r="Y952" s="4">
        <f t="shared" si="175"/>
        <v>0</v>
      </c>
    </row>
    <row r="953" spans="1:25" hidden="1" outlineLevel="1" x14ac:dyDescent="0.35">
      <c r="A953" s="39" t="s">
        <v>2266</v>
      </c>
      <c r="B953" s="39" t="s">
        <v>109</v>
      </c>
      <c r="C953" s="39" t="s">
        <v>2267</v>
      </c>
      <c r="D953" s="39" t="s">
        <v>109</v>
      </c>
      <c r="E953" s="40" t="s">
        <v>109</v>
      </c>
      <c r="F953" s="39" t="s">
        <v>41</v>
      </c>
      <c r="G953" s="39" t="s">
        <v>110</v>
      </c>
      <c r="H953" s="47">
        <v>0</v>
      </c>
      <c r="I953" s="36">
        <f t="shared" si="169"/>
        <v>0</v>
      </c>
      <c r="J953" s="37">
        <f t="shared" si="167"/>
        <v>0</v>
      </c>
      <c r="K953" s="37">
        <f t="shared" si="168"/>
        <v>0</v>
      </c>
      <c r="M953" s="37">
        <f t="shared" si="170"/>
        <v>0</v>
      </c>
      <c r="O953" s="4">
        <f t="shared" si="171"/>
        <v>0</v>
      </c>
      <c r="Q953" s="4">
        <f t="shared" si="172"/>
        <v>0</v>
      </c>
      <c r="S953" s="4">
        <f t="shared" si="173"/>
        <v>0</v>
      </c>
      <c r="U953" s="4">
        <f t="shared" si="176"/>
        <v>0</v>
      </c>
      <c r="W953" s="4">
        <f t="shared" si="174"/>
        <v>0</v>
      </c>
      <c r="Y953" s="4">
        <f t="shared" si="175"/>
        <v>0</v>
      </c>
    </row>
    <row r="954" spans="1:25" hidden="1" outlineLevel="1" x14ac:dyDescent="0.35">
      <c r="A954" s="39" t="s">
        <v>2268</v>
      </c>
      <c r="B954" s="39" t="s">
        <v>109</v>
      </c>
      <c r="C954" s="39" t="s">
        <v>109</v>
      </c>
      <c r="D954" s="39" t="s">
        <v>65</v>
      </c>
      <c r="E954" s="40" t="s">
        <v>66</v>
      </c>
      <c r="F954" s="39" t="s">
        <v>41</v>
      </c>
      <c r="G954" s="39" t="s">
        <v>110</v>
      </c>
      <c r="H954" s="47">
        <v>0</v>
      </c>
      <c r="I954" s="36">
        <f t="shared" si="169"/>
        <v>0</v>
      </c>
      <c r="J954" s="37">
        <f t="shared" si="167"/>
        <v>0</v>
      </c>
      <c r="K954" s="37">
        <f t="shared" si="168"/>
        <v>0</v>
      </c>
      <c r="M954" s="37">
        <f t="shared" si="170"/>
        <v>0</v>
      </c>
      <c r="O954" s="4">
        <f t="shared" si="171"/>
        <v>0</v>
      </c>
      <c r="Q954" s="4">
        <f t="shared" si="172"/>
        <v>0</v>
      </c>
      <c r="S954" s="4">
        <f t="shared" si="173"/>
        <v>0</v>
      </c>
      <c r="U954" s="4">
        <f t="shared" si="176"/>
        <v>0</v>
      </c>
      <c r="W954" s="4">
        <f t="shared" si="174"/>
        <v>0</v>
      </c>
      <c r="Y954" s="4">
        <f t="shared" si="175"/>
        <v>0</v>
      </c>
    </row>
    <row r="955" spans="1:25" hidden="1" outlineLevel="1" x14ac:dyDescent="0.35">
      <c r="A955" s="39" t="s">
        <v>2269</v>
      </c>
      <c r="B955" s="39" t="s">
        <v>109</v>
      </c>
      <c r="C955" s="39" t="s">
        <v>109</v>
      </c>
      <c r="D955" s="39" t="s">
        <v>1000</v>
      </c>
      <c r="E955" s="40" t="s">
        <v>91</v>
      </c>
      <c r="F955" s="39" t="s">
        <v>41</v>
      </c>
      <c r="G955" s="39" t="s">
        <v>2270</v>
      </c>
      <c r="H955" s="47">
        <v>0</v>
      </c>
      <c r="I955" s="36">
        <f t="shared" si="169"/>
        <v>0</v>
      </c>
      <c r="J955" s="37">
        <f t="shared" si="167"/>
        <v>0</v>
      </c>
      <c r="K955" s="37">
        <f t="shared" si="168"/>
        <v>0</v>
      </c>
      <c r="M955" s="37">
        <f t="shared" si="170"/>
        <v>0</v>
      </c>
      <c r="O955" s="4">
        <f t="shared" si="171"/>
        <v>0</v>
      </c>
      <c r="Q955" s="4">
        <f t="shared" si="172"/>
        <v>0</v>
      </c>
      <c r="S955" s="4">
        <f t="shared" si="173"/>
        <v>0</v>
      </c>
      <c r="U955" s="4">
        <f t="shared" si="176"/>
        <v>0</v>
      </c>
      <c r="W955" s="4">
        <f t="shared" si="174"/>
        <v>0</v>
      </c>
      <c r="Y955" s="4">
        <f t="shared" si="175"/>
        <v>0</v>
      </c>
    </row>
    <row r="956" spans="1:25" hidden="1" outlineLevel="1" x14ac:dyDescent="0.35">
      <c r="A956" s="39" t="s">
        <v>2271</v>
      </c>
      <c r="B956" s="39" t="s">
        <v>109</v>
      </c>
      <c r="C956" s="39" t="s">
        <v>109</v>
      </c>
      <c r="D956" s="39" t="s">
        <v>2272</v>
      </c>
      <c r="E956" s="40" t="s">
        <v>222</v>
      </c>
      <c r="F956" s="39" t="s">
        <v>41</v>
      </c>
      <c r="G956" s="39" t="s">
        <v>2273</v>
      </c>
      <c r="H956" s="47">
        <v>0</v>
      </c>
      <c r="I956" s="36">
        <f t="shared" si="169"/>
        <v>0</v>
      </c>
      <c r="J956" s="37">
        <f t="shared" si="167"/>
        <v>0</v>
      </c>
      <c r="K956" s="37">
        <f t="shared" si="168"/>
        <v>0</v>
      </c>
      <c r="M956" s="37">
        <f t="shared" si="170"/>
        <v>0</v>
      </c>
      <c r="O956" s="4">
        <f t="shared" si="171"/>
        <v>0</v>
      </c>
      <c r="Q956" s="4">
        <f t="shared" si="172"/>
        <v>0</v>
      </c>
      <c r="S956" s="4">
        <f t="shared" si="173"/>
        <v>0</v>
      </c>
      <c r="U956" s="4">
        <f t="shared" si="176"/>
        <v>0</v>
      </c>
      <c r="W956" s="4">
        <f t="shared" si="174"/>
        <v>0</v>
      </c>
      <c r="Y956" s="4">
        <f t="shared" si="175"/>
        <v>0</v>
      </c>
    </row>
    <row r="957" spans="1:25" hidden="1" outlineLevel="1" x14ac:dyDescent="0.35">
      <c r="A957" s="39" t="s">
        <v>2274</v>
      </c>
      <c r="B957" s="39" t="s">
        <v>109</v>
      </c>
      <c r="C957" s="39" t="s">
        <v>109</v>
      </c>
      <c r="D957" s="39" t="s">
        <v>1112</v>
      </c>
      <c r="E957" s="40" t="s">
        <v>260</v>
      </c>
      <c r="F957" s="39" t="s">
        <v>41</v>
      </c>
      <c r="G957" s="39" t="s">
        <v>110</v>
      </c>
      <c r="H957" s="47">
        <v>0</v>
      </c>
      <c r="I957" s="36">
        <f t="shared" si="169"/>
        <v>0</v>
      </c>
      <c r="J957" s="37">
        <f t="shared" si="167"/>
        <v>0</v>
      </c>
      <c r="K957" s="37">
        <f t="shared" si="168"/>
        <v>0</v>
      </c>
      <c r="M957" s="37">
        <f t="shared" si="170"/>
        <v>0</v>
      </c>
      <c r="O957" s="4">
        <f t="shared" si="171"/>
        <v>0</v>
      </c>
      <c r="Q957" s="4">
        <f t="shared" si="172"/>
        <v>0</v>
      </c>
      <c r="S957" s="4">
        <f t="shared" si="173"/>
        <v>0</v>
      </c>
      <c r="U957" s="4">
        <f t="shared" si="176"/>
        <v>0</v>
      </c>
      <c r="W957" s="4">
        <f t="shared" si="174"/>
        <v>0</v>
      </c>
      <c r="Y957" s="4">
        <f t="shared" si="175"/>
        <v>0</v>
      </c>
    </row>
    <row r="958" spans="1:25" hidden="1" outlineLevel="1" x14ac:dyDescent="0.35">
      <c r="A958" s="39" t="s">
        <v>2275</v>
      </c>
      <c r="B958" s="39" t="s">
        <v>109</v>
      </c>
      <c r="C958" s="39" t="s">
        <v>109</v>
      </c>
      <c r="D958" s="39" t="s">
        <v>2276</v>
      </c>
      <c r="E958" s="40" t="s">
        <v>302</v>
      </c>
      <c r="F958" s="39" t="s">
        <v>41</v>
      </c>
      <c r="G958" s="39" t="s">
        <v>110</v>
      </c>
      <c r="H958" s="47">
        <v>0</v>
      </c>
      <c r="I958" s="36">
        <f t="shared" si="169"/>
        <v>0</v>
      </c>
      <c r="J958" s="37">
        <f t="shared" si="167"/>
        <v>0</v>
      </c>
      <c r="K958" s="37">
        <f t="shared" si="168"/>
        <v>0</v>
      </c>
      <c r="M958" s="37">
        <f t="shared" si="170"/>
        <v>0</v>
      </c>
      <c r="O958" s="4">
        <f t="shared" si="171"/>
        <v>0</v>
      </c>
      <c r="Q958" s="4">
        <f t="shared" si="172"/>
        <v>0</v>
      </c>
      <c r="S958" s="4">
        <f t="shared" si="173"/>
        <v>0</v>
      </c>
      <c r="U958" s="4">
        <f t="shared" si="176"/>
        <v>0</v>
      </c>
      <c r="W958" s="4">
        <f t="shared" si="174"/>
        <v>0</v>
      </c>
      <c r="Y958" s="4">
        <f t="shared" si="175"/>
        <v>0</v>
      </c>
    </row>
    <row r="959" spans="1:25" hidden="1" outlineLevel="1" x14ac:dyDescent="0.35">
      <c r="A959" s="39" t="s">
        <v>2277</v>
      </c>
      <c r="B959" s="39" t="s">
        <v>109</v>
      </c>
      <c r="C959" s="39" t="s">
        <v>2278</v>
      </c>
      <c r="D959" s="39" t="s">
        <v>2279</v>
      </c>
      <c r="E959" s="40" t="s">
        <v>255</v>
      </c>
      <c r="F959" s="39" t="s">
        <v>41</v>
      </c>
      <c r="G959" s="39" t="s">
        <v>110</v>
      </c>
      <c r="H959" s="47">
        <v>0</v>
      </c>
      <c r="I959" s="36">
        <f t="shared" si="169"/>
        <v>0</v>
      </c>
      <c r="J959" s="37">
        <f t="shared" si="167"/>
        <v>0</v>
      </c>
      <c r="K959" s="37">
        <f t="shared" si="168"/>
        <v>0</v>
      </c>
      <c r="M959" s="37">
        <f t="shared" si="170"/>
        <v>0</v>
      </c>
      <c r="O959" s="4">
        <f t="shared" si="171"/>
        <v>0</v>
      </c>
      <c r="Q959" s="4">
        <f t="shared" si="172"/>
        <v>0</v>
      </c>
      <c r="S959" s="4">
        <f t="shared" si="173"/>
        <v>0</v>
      </c>
      <c r="U959" s="4">
        <f t="shared" si="176"/>
        <v>0</v>
      </c>
      <c r="W959" s="4">
        <f t="shared" si="174"/>
        <v>0</v>
      </c>
      <c r="Y959" s="4">
        <f t="shared" si="175"/>
        <v>0</v>
      </c>
    </row>
    <row r="960" spans="1:25" hidden="1" outlineLevel="1" x14ac:dyDescent="0.35">
      <c r="A960" s="39" t="s">
        <v>2280</v>
      </c>
      <c r="B960" s="39" t="s">
        <v>109</v>
      </c>
      <c r="C960" s="39" t="s">
        <v>109</v>
      </c>
      <c r="D960" s="39" t="s">
        <v>998</v>
      </c>
      <c r="E960" s="40" t="s">
        <v>367</v>
      </c>
      <c r="F960" s="39" t="s">
        <v>41</v>
      </c>
      <c r="G960" s="39" t="s">
        <v>2281</v>
      </c>
      <c r="H960" s="47">
        <v>0</v>
      </c>
      <c r="I960" s="36">
        <f t="shared" si="169"/>
        <v>0</v>
      </c>
      <c r="J960" s="37">
        <f t="shared" si="167"/>
        <v>0</v>
      </c>
      <c r="K960" s="37">
        <f t="shared" si="168"/>
        <v>0</v>
      </c>
      <c r="M960" s="37">
        <f t="shared" si="170"/>
        <v>0</v>
      </c>
      <c r="O960" s="4">
        <f t="shared" si="171"/>
        <v>0</v>
      </c>
      <c r="Q960" s="4">
        <f t="shared" si="172"/>
        <v>0</v>
      </c>
      <c r="S960" s="4">
        <f t="shared" si="173"/>
        <v>0</v>
      </c>
      <c r="U960" s="4">
        <f t="shared" si="176"/>
        <v>0</v>
      </c>
      <c r="W960" s="4">
        <f t="shared" si="174"/>
        <v>0</v>
      </c>
      <c r="Y960" s="4">
        <f t="shared" si="175"/>
        <v>0</v>
      </c>
    </row>
    <row r="961" spans="1:25" hidden="1" outlineLevel="1" x14ac:dyDescent="0.35">
      <c r="A961" s="39" t="s">
        <v>2282</v>
      </c>
      <c r="B961" s="39" t="s">
        <v>109</v>
      </c>
      <c r="C961" s="39" t="s">
        <v>109</v>
      </c>
      <c r="D961" s="39" t="s">
        <v>2283</v>
      </c>
      <c r="E961" s="40" t="s">
        <v>51</v>
      </c>
      <c r="F961" s="39" t="s">
        <v>41</v>
      </c>
      <c r="G961" s="39" t="s">
        <v>2284</v>
      </c>
      <c r="H961" s="47">
        <v>0</v>
      </c>
      <c r="I961" s="36">
        <f t="shared" si="169"/>
        <v>0</v>
      </c>
      <c r="J961" s="37">
        <f t="shared" si="167"/>
        <v>0</v>
      </c>
      <c r="K961" s="37">
        <f t="shared" si="168"/>
        <v>0</v>
      </c>
      <c r="M961" s="37">
        <f t="shared" si="170"/>
        <v>0</v>
      </c>
      <c r="O961" s="4">
        <f t="shared" si="171"/>
        <v>0</v>
      </c>
      <c r="Q961" s="4">
        <f t="shared" si="172"/>
        <v>0</v>
      </c>
      <c r="S961" s="4">
        <f t="shared" si="173"/>
        <v>0</v>
      </c>
      <c r="U961" s="4">
        <f t="shared" si="176"/>
        <v>0</v>
      </c>
      <c r="W961" s="4">
        <f t="shared" si="174"/>
        <v>0</v>
      </c>
      <c r="Y961" s="4">
        <f t="shared" si="175"/>
        <v>0</v>
      </c>
    </row>
    <row r="962" spans="1:25" hidden="1" outlineLevel="1" x14ac:dyDescent="0.35">
      <c r="A962" s="39" t="s">
        <v>2285</v>
      </c>
      <c r="B962" s="39" t="s">
        <v>109</v>
      </c>
      <c r="C962" s="39" t="s">
        <v>109</v>
      </c>
      <c r="D962" s="39" t="s">
        <v>109</v>
      </c>
      <c r="E962" s="40" t="s">
        <v>109</v>
      </c>
      <c r="F962" s="39" t="s">
        <v>41</v>
      </c>
      <c r="G962" s="39" t="s">
        <v>110</v>
      </c>
      <c r="H962" s="47">
        <v>0</v>
      </c>
      <c r="I962" s="36">
        <f t="shared" si="169"/>
        <v>0</v>
      </c>
      <c r="J962" s="37">
        <f t="shared" si="167"/>
        <v>0</v>
      </c>
      <c r="K962" s="37">
        <f t="shared" si="168"/>
        <v>0</v>
      </c>
      <c r="M962" s="37">
        <f t="shared" si="170"/>
        <v>0</v>
      </c>
      <c r="O962" s="4">
        <f t="shared" si="171"/>
        <v>0</v>
      </c>
      <c r="Q962" s="4">
        <f t="shared" si="172"/>
        <v>0</v>
      </c>
      <c r="S962" s="4">
        <f t="shared" si="173"/>
        <v>0</v>
      </c>
      <c r="U962" s="4">
        <f t="shared" si="176"/>
        <v>0</v>
      </c>
      <c r="W962" s="4">
        <f t="shared" si="174"/>
        <v>0</v>
      </c>
      <c r="Y962" s="4">
        <f t="shared" si="175"/>
        <v>0</v>
      </c>
    </row>
    <row r="963" spans="1:25" hidden="1" outlineLevel="1" x14ac:dyDescent="0.35">
      <c r="A963" s="39" t="s">
        <v>640</v>
      </c>
      <c r="B963" s="39" t="s">
        <v>109</v>
      </c>
      <c r="C963" s="39" t="s">
        <v>2286</v>
      </c>
      <c r="D963" s="39" t="s">
        <v>624</v>
      </c>
      <c r="E963" s="40" t="s">
        <v>146</v>
      </c>
      <c r="F963" s="39" t="s">
        <v>41</v>
      </c>
      <c r="G963" s="39" t="s">
        <v>651</v>
      </c>
      <c r="H963" s="47">
        <v>0</v>
      </c>
      <c r="I963" s="36">
        <f t="shared" si="169"/>
        <v>0</v>
      </c>
      <c r="J963" s="37">
        <f t="shared" si="167"/>
        <v>0</v>
      </c>
      <c r="K963" s="37">
        <f t="shared" si="168"/>
        <v>0</v>
      </c>
      <c r="M963" s="37">
        <f t="shared" si="170"/>
        <v>0</v>
      </c>
      <c r="O963" s="4">
        <f t="shared" si="171"/>
        <v>0</v>
      </c>
      <c r="Q963" s="4">
        <f t="shared" si="172"/>
        <v>0</v>
      </c>
      <c r="S963" s="4">
        <f t="shared" si="173"/>
        <v>0</v>
      </c>
      <c r="U963" s="4">
        <f t="shared" si="176"/>
        <v>0</v>
      </c>
      <c r="W963" s="4">
        <f t="shared" si="174"/>
        <v>0</v>
      </c>
      <c r="Y963" s="4">
        <f t="shared" si="175"/>
        <v>0</v>
      </c>
    </row>
    <row r="964" spans="1:25" hidden="1" outlineLevel="1" x14ac:dyDescent="0.35">
      <c r="A964" s="39" t="s">
        <v>2287</v>
      </c>
      <c r="B964" s="39" t="s">
        <v>109</v>
      </c>
      <c r="C964" s="39" t="s">
        <v>2288</v>
      </c>
      <c r="D964" s="39" t="s">
        <v>2289</v>
      </c>
      <c r="E964" s="40" t="s">
        <v>226</v>
      </c>
      <c r="F964" s="39" t="s">
        <v>41</v>
      </c>
      <c r="G964" s="39" t="s">
        <v>110</v>
      </c>
      <c r="H964" s="47">
        <v>0</v>
      </c>
      <c r="I964" s="36">
        <f t="shared" si="169"/>
        <v>0</v>
      </c>
      <c r="J964" s="37">
        <f t="shared" si="167"/>
        <v>0</v>
      </c>
      <c r="K964" s="37">
        <f t="shared" si="168"/>
        <v>0</v>
      </c>
      <c r="M964" s="37">
        <f t="shared" si="170"/>
        <v>0</v>
      </c>
      <c r="O964" s="4">
        <f t="shared" si="171"/>
        <v>0</v>
      </c>
      <c r="Q964" s="4">
        <f t="shared" si="172"/>
        <v>0</v>
      </c>
      <c r="S964" s="4">
        <f t="shared" si="173"/>
        <v>0</v>
      </c>
      <c r="U964" s="4">
        <f t="shared" si="176"/>
        <v>0</v>
      </c>
      <c r="W964" s="4">
        <f t="shared" si="174"/>
        <v>0</v>
      </c>
      <c r="Y964" s="4">
        <f t="shared" si="175"/>
        <v>0</v>
      </c>
    </row>
    <row r="965" spans="1:25" hidden="1" outlineLevel="1" x14ac:dyDescent="0.35">
      <c r="A965" s="39" t="s">
        <v>2290</v>
      </c>
      <c r="B965" s="39" t="s">
        <v>109</v>
      </c>
      <c r="C965" s="39" t="s">
        <v>2291</v>
      </c>
      <c r="D965" s="39" t="s">
        <v>2292</v>
      </c>
      <c r="E965" s="40" t="s">
        <v>238</v>
      </c>
      <c r="F965" s="39" t="s">
        <v>41</v>
      </c>
      <c r="G965" s="39" t="s">
        <v>110</v>
      </c>
      <c r="H965" s="47">
        <v>0</v>
      </c>
      <c r="I965" s="36">
        <f t="shared" si="169"/>
        <v>0</v>
      </c>
      <c r="J965" s="37">
        <f t="shared" si="167"/>
        <v>0</v>
      </c>
      <c r="K965" s="37">
        <f t="shared" si="168"/>
        <v>0</v>
      </c>
      <c r="M965" s="37">
        <f t="shared" si="170"/>
        <v>0</v>
      </c>
      <c r="O965" s="4">
        <f t="shared" si="171"/>
        <v>0</v>
      </c>
      <c r="Q965" s="4">
        <f t="shared" si="172"/>
        <v>0</v>
      </c>
      <c r="S965" s="4">
        <f t="shared" si="173"/>
        <v>0</v>
      </c>
      <c r="U965" s="4">
        <f t="shared" si="176"/>
        <v>0</v>
      </c>
      <c r="W965" s="4">
        <f t="shared" si="174"/>
        <v>0</v>
      </c>
      <c r="Y965" s="4">
        <f t="shared" si="175"/>
        <v>0</v>
      </c>
    </row>
    <row r="966" spans="1:25" hidden="1" outlineLevel="1" x14ac:dyDescent="0.35">
      <c r="A966" s="39" t="s">
        <v>2293</v>
      </c>
      <c r="B966" s="39" t="s">
        <v>109</v>
      </c>
      <c r="C966" s="39" t="s">
        <v>2294</v>
      </c>
      <c r="D966" s="39" t="s">
        <v>2295</v>
      </c>
      <c r="E966" s="40" t="s">
        <v>51</v>
      </c>
      <c r="F966" s="39" t="s">
        <v>41</v>
      </c>
      <c r="G966" s="39" t="s">
        <v>2296</v>
      </c>
      <c r="H966" s="47">
        <v>0</v>
      </c>
      <c r="I966" s="36">
        <f t="shared" si="169"/>
        <v>0</v>
      </c>
      <c r="J966" s="37">
        <f t="shared" si="167"/>
        <v>0</v>
      </c>
      <c r="K966" s="37">
        <f t="shared" si="168"/>
        <v>0</v>
      </c>
      <c r="M966" s="37">
        <f t="shared" si="170"/>
        <v>0</v>
      </c>
      <c r="O966" s="4">
        <f t="shared" si="171"/>
        <v>0</v>
      </c>
      <c r="Q966" s="4">
        <f t="shared" si="172"/>
        <v>0</v>
      </c>
      <c r="S966" s="4">
        <f t="shared" si="173"/>
        <v>0</v>
      </c>
      <c r="U966" s="4">
        <f t="shared" si="176"/>
        <v>0</v>
      </c>
      <c r="W966" s="4">
        <f t="shared" si="174"/>
        <v>0</v>
      </c>
      <c r="Y966" s="4">
        <f t="shared" si="175"/>
        <v>0</v>
      </c>
    </row>
    <row r="967" spans="1:25" hidden="1" outlineLevel="1" x14ac:dyDescent="0.35">
      <c r="A967" s="39" t="s">
        <v>2297</v>
      </c>
      <c r="B967" s="39" t="s">
        <v>109</v>
      </c>
      <c r="C967" s="39" t="s">
        <v>2298</v>
      </c>
      <c r="D967" s="39" t="s">
        <v>109</v>
      </c>
      <c r="E967" s="40" t="s">
        <v>109</v>
      </c>
      <c r="F967" s="39" t="s">
        <v>41</v>
      </c>
      <c r="G967" s="39" t="s">
        <v>110</v>
      </c>
      <c r="H967" s="47">
        <v>0</v>
      </c>
      <c r="I967" s="36">
        <f t="shared" si="169"/>
        <v>0</v>
      </c>
      <c r="J967" s="37">
        <f t="shared" si="167"/>
        <v>0</v>
      </c>
      <c r="K967" s="37">
        <f t="shared" si="168"/>
        <v>0</v>
      </c>
      <c r="M967" s="37">
        <f t="shared" si="170"/>
        <v>0</v>
      </c>
      <c r="O967" s="4">
        <f t="shared" si="171"/>
        <v>0</v>
      </c>
      <c r="Q967" s="4">
        <f t="shared" si="172"/>
        <v>0</v>
      </c>
      <c r="S967" s="4">
        <f t="shared" si="173"/>
        <v>0</v>
      </c>
      <c r="U967" s="4">
        <f t="shared" si="176"/>
        <v>0</v>
      </c>
      <c r="W967" s="4">
        <f t="shared" si="174"/>
        <v>0</v>
      </c>
      <c r="Y967" s="4">
        <f t="shared" si="175"/>
        <v>0</v>
      </c>
    </row>
    <row r="968" spans="1:25" hidden="1" outlineLevel="1" x14ac:dyDescent="0.35">
      <c r="A968" s="39" t="s">
        <v>2299</v>
      </c>
      <c r="B968" s="39" t="s">
        <v>109</v>
      </c>
      <c r="C968" s="39" t="s">
        <v>2300</v>
      </c>
      <c r="D968" s="39" t="s">
        <v>2301</v>
      </c>
      <c r="E968" s="40" t="s">
        <v>56</v>
      </c>
      <c r="F968" s="39" t="s">
        <v>41</v>
      </c>
      <c r="G968" s="39" t="s">
        <v>2302</v>
      </c>
      <c r="H968" s="47">
        <v>0</v>
      </c>
      <c r="I968" s="36">
        <f t="shared" si="169"/>
        <v>0</v>
      </c>
      <c r="J968" s="37">
        <f t="shared" si="167"/>
        <v>0</v>
      </c>
      <c r="K968" s="37">
        <f t="shared" si="168"/>
        <v>0</v>
      </c>
      <c r="M968" s="37">
        <f t="shared" si="170"/>
        <v>0</v>
      </c>
      <c r="O968" s="4">
        <f t="shared" si="171"/>
        <v>0</v>
      </c>
      <c r="Q968" s="4">
        <f t="shared" si="172"/>
        <v>0</v>
      </c>
      <c r="S968" s="4">
        <f t="shared" si="173"/>
        <v>0</v>
      </c>
      <c r="U968" s="4">
        <f t="shared" si="176"/>
        <v>0</v>
      </c>
      <c r="W968" s="4">
        <f t="shared" si="174"/>
        <v>0</v>
      </c>
      <c r="Y968" s="4">
        <f t="shared" si="175"/>
        <v>0</v>
      </c>
    </row>
    <row r="969" spans="1:25" hidden="1" outlineLevel="1" x14ac:dyDescent="0.35">
      <c r="A969" s="39" t="s">
        <v>2303</v>
      </c>
      <c r="B969" s="39" t="s">
        <v>109</v>
      </c>
      <c r="C969" s="39" t="s">
        <v>109</v>
      </c>
      <c r="D969" s="39" t="s">
        <v>109</v>
      </c>
      <c r="E969" s="40" t="s">
        <v>200</v>
      </c>
      <c r="F969" s="39" t="s">
        <v>41</v>
      </c>
      <c r="G969" s="39" t="s">
        <v>110</v>
      </c>
      <c r="H969" s="47">
        <v>0</v>
      </c>
      <c r="I969" s="36">
        <f t="shared" si="169"/>
        <v>0</v>
      </c>
      <c r="J969" s="37">
        <f t="shared" si="167"/>
        <v>0</v>
      </c>
      <c r="K969" s="37">
        <f t="shared" si="168"/>
        <v>0</v>
      </c>
      <c r="M969" s="37">
        <f t="shared" si="170"/>
        <v>0</v>
      </c>
      <c r="O969" s="4">
        <f t="shared" si="171"/>
        <v>0</v>
      </c>
      <c r="Q969" s="4">
        <f t="shared" si="172"/>
        <v>0</v>
      </c>
      <c r="S969" s="4">
        <f t="shared" si="173"/>
        <v>0</v>
      </c>
      <c r="U969" s="4">
        <f t="shared" si="176"/>
        <v>0</v>
      </c>
      <c r="W969" s="4">
        <f t="shared" si="174"/>
        <v>0</v>
      </c>
      <c r="Y969" s="4">
        <f t="shared" si="175"/>
        <v>0</v>
      </c>
    </row>
    <row r="970" spans="1:25" hidden="1" outlineLevel="1" x14ac:dyDescent="0.35">
      <c r="A970" s="39" t="s">
        <v>522</v>
      </c>
      <c r="B970" s="39" t="s">
        <v>109</v>
      </c>
      <c r="C970" s="39" t="s">
        <v>2304</v>
      </c>
      <c r="D970" s="39" t="s">
        <v>528</v>
      </c>
      <c r="E970" s="40" t="s">
        <v>40</v>
      </c>
      <c r="F970" s="39" t="s">
        <v>41</v>
      </c>
      <c r="G970" s="39" t="s">
        <v>545</v>
      </c>
      <c r="H970" s="47">
        <v>0</v>
      </c>
      <c r="I970" s="36">
        <f t="shared" si="169"/>
        <v>0</v>
      </c>
      <c r="J970" s="37">
        <f t="shared" si="167"/>
        <v>0</v>
      </c>
      <c r="K970" s="37">
        <f t="shared" si="168"/>
        <v>0</v>
      </c>
      <c r="M970" s="37">
        <f t="shared" si="170"/>
        <v>0</v>
      </c>
      <c r="O970" s="4">
        <f t="shared" si="171"/>
        <v>0</v>
      </c>
      <c r="Q970" s="4">
        <f t="shared" si="172"/>
        <v>0</v>
      </c>
      <c r="S970" s="4">
        <f t="shared" si="173"/>
        <v>0</v>
      </c>
      <c r="U970" s="4">
        <f t="shared" si="176"/>
        <v>0</v>
      </c>
      <c r="W970" s="4">
        <f t="shared" si="174"/>
        <v>0</v>
      </c>
      <c r="Y970" s="4">
        <f t="shared" si="175"/>
        <v>0</v>
      </c>
    </row>
    <row r="971" spans="1:25" hidden="1" outlineLevel="1" x14ac:dyDescent="0.35">
      <c r="A971" s="39" t="s">
        <v>2305</v>
      </c>
      <c r="B971" s="39" t="s">
        <v>109</v>
      </c>
      <c r="C971" s="39" t="s">
        <v>109</v>
      </c>
      <c r="D971" s="39" t="s">
        <v>109</v>
      </c>
      <c r="E971" s="40" t="s">
        <v>109</v>
      </c>
      <c r="F971" s="39" t="s">
        <v>41</v>
      </c>
      <c r="G971" s="39" t="s">
        <v>110</v>
      </c>
      <c r="H971" s="47">
        <v>0</v>
      </c>
      <c r="I971" s="36">
        <f t="shared" si="169"/>
        <v>0</v>
      </c>
      <c r="J971" s="37">
        <f t="shared" si="167"/>
        <v>0</v>
      </c>
      <c r="K971" s="37">
        <f t="shared" si="168"/>
        <v>0</v>
      </c>
      <c r="M971" s="37">
        <f t="shared" si="170"/>
        <v>0</v>
      </c>
      <c r="O971" s="4">
        <f t="shared" si="171"/>
        <v>0</v>
      </c>
      <c r="Q971" s="4">
        <f t="shared" si="172"/>
        <v>0</v>
      </c>
      <c r="S971" s="4">
        <f t="shared" si="173"/>
        <v>0</v>
      </c>
      <c r="U971" s="4">
        <f t="shared" si="176"/>
        <v>0</v>
      </c>
      <c r="W971" s="4">
        <f t="shared" si="174"/>
        <v>0</v>
      </c>
      <c r="Y971" s="4">
        <f t="shared" si="175"/>
        <v>0</v>
      </c>
    </row>
    <row r="972" spans="1:25" hidden="1" outlineLevel="1" x14ac:dyDescent="0.35">
      <c r="A972" s="39" t="s">
        <v>2306</v>
      </c>
      <c r="B972" s="39" t="s">
        <v>109</v>
      </c>
      <c r="C972" s="39" t="s">
        <v>109</v>
      </c>
      <c r="D972" s="39" t="s">
        <v>109</v>
      </c>
      <c r="E972" s="40" t="s">
        <v>109</v>
      </c>
      <c r="F972" s="39" t="s">
        <v>41</v>
      </c>
      <c r="G972" s="39" t="s">
        <v>110</v>
      </c>
      <c r="H972" s="47">
        <v>0</v>
      </c>
      <c r="I972" s="36">
        <f t="shared" si="169"/>
        <v>0</v>
      </c>
      <c r="J972" s="37">
        <f t="shared" si="167"/>
        <v>0</v>
      </c>
      <c r="K972" s="37">
        <f t="shared" si="168"/>
        <v>0</v>
      </c>
      <c r="M972" s="37">
        <f t="shared" si="170"/>
        <v>0</v>
      </c>
      <c r="O972" s="4">
        <f t="shared" si="171"/>
        <v>0</v>
      </c>
      <c r="Q972" s="4">
        <f t="shared" si="172"/>
        <v>0</v>
      </c>
      <c r="S972" s="4">
        <f t="shared" si="173"/>
        <v>0</v>
      </c>
      <c r="U972" s="4">
        <f t="shared" si="176"/>
        <v>0</v>
      </c>
      <c r="W972" s="4">
        <f t="shared" si="174"/>
        <v>0</v>
      </c>
      <c r="Y972" s="4">
        <f t="shared" si="175"/>
        <v>0</v>
      </c>
    </row>
    <row r="973" spans="1:25" hidden="1" outlineLevel="1" x14ac:dyDescent="0.35">
      <c r="A973" s="39" t="s">
        <v>2307</v>
      </c>
      <c r="B973" s="39" t="s">
        <v>109</v>
      </c>
      <c r="C973" s="39" t="s">
        <v>109</v>
      </c>
      <c r="D973" s="39" t="s">
        <v>2308</v>
      </c>
      <c r="E973" s="40" t="s">
        <v>238</v>
      </c>
      <c r="F973" s="39" t="s">
        <v>41</v>
      </c>
      <c r="G973" s="39" t="s">
        <v>110</v>
      </c>
      <c r="H973" s="47">
        <v>0</v>
      </c>
      <c r="I973" s="36">
        <f t="shared" si="169"/>
        <v>0</v>
      </c>
      <c r="J973" s="37">
        <f t="shared" si="167"/>
        <v>0</v>
      </c>
      <c r="K973" s="37">
        <f t="shared" si="168"/>
        <v>0</v>
      </c>
      <c r="M973" s="37">
        <f t="shared" si="170"/>
        <v>0</v>
      </c>
      <c r="O973" s="4">
        <f t="shared" si="171"/>
        <v>0</v>
      </c>
      <c r="Q973" s="4">
        <f t="shared" si="172"/>
        <v>0</v>
      </c>
      <c r="S973" s="4">
        <f t="shared" si="173"/>
        <v>0</v>
      </c>
      <c r="U973" s="4">
        <f t="shared" si="176"/>
        <v>0</v>
      </c>
      <c r="W973" s="4">
        <f t="shared" si="174"/>
        <v>0</v>
      </c>
      <c r="Y973" s="4">
        <f t="shared" si="175"/>
        <v>0</v>
      </c>
    </row>
    <row r="974" spans="1:25" hidden="1" outlineLevel="1" x14ac:dyDescent="0.35">
      <c r="A974" s="39" t="s">
        <v>2309</v>
      </c>
      <c r="B974" s="39" t="s">
        <v>109</v>
      </c>
      <c r="C974" s="39" t="s">
        <v>109</v>
      </c>
      <c r="D974" s="39" t="s">
        <v>2310</v>
      </c>
      <c r="E974" s="40" t="s">
        <v>51</v>
      </c>
      <c r="F974" s="39" t="s">
        <v>41</v>
      </c>
      <c r="G974" s="39" t="s">
        <v>110</v>
      </c>
      <c r="H974" s="47">
        <v>0</v>
      </c>
      <c r="I974" s="36">
        <f t="shared" si="169"/>
        <v>0</v>
      </c>
      <c r="J974" s="37">
        <f t="shared" si="167"/>
        <v>0</v>
      </c>
      <c r="K974" s="37">
        <f t="shared" si="168"/>
        <v>0</v>
      </c>
      <c r="M974" s="37">
        <f t="shared" si="170"/>
        <v>0</v>
      </c>
      <c r="O974" s="4">
        <f t="shared" si="171"/>
        <v>0</v>
      </c>
      <c r="Q974" s="4">
        <f t="shared" si="172"/>
        <v>0</v>
      </c>
      <c r="S974" s="4">
        <f t="shared" si="173"/>
        <v>0</v>
      </c>
      <c r="U974" s="4">
        <f t="shared" si="176"/>
        <v>0</v>
      </c>
      <c r="W974" s="4">
        <f t="shared" si="174"/>
        <v>0</v>
      </c>
      <c r="Y974" s="4">
        <f t="shared" si="175"/>
        <v>0</v>
      </c>
    </row>
    <row r="975" spans="1:25" hidden="1" outlineLevel="1" x14ac:dyDescent="0.35">
      <c r="A975" s="39" t="s">
        <v>2311</v>
      </c>
      <c r="B975" s="39" t="s">
        <v>109</v>
      </c>
      <c r="C975" s="39" t="s">
        <v>2312</v>
      </c>
      <c r="D975" s="39" t="s">
        <v>2313</v>
      </c>
      <c r="E975" s="40" t="s">
        <v>246</v>
      </c>
      <c r="F975" s="39" t="s">
        <v>41</v>
      </c>
      <c r="G975" s="39" t="s">
        <v>110</v>
      </c>
      <c r="H975" s="47">
        <v>0</v>
      </c>
      <c r="I975" s="36">
        <f t="shared" si="169"/>
        <v>0</v>
      </c>
      <c r="J975" s="37">
        <f t="shared" si="167"/>
        <v>0</v>
      </c>
      <c r="K975" s="37">
        <f t="shared" si="168"/>
        <v>0</v>
      </c>
      <c r="M975" s="37">
        <f t="shared" si="170"/>
        <v>0</v>
      </c>
      <c r="O975" s="4">
        <f t="shared" si="171"/>
        <v>0</v>
      </c>
      <c r="Q975" s="4">
        <f t="shared" si="172"/>
        <v>0</v>
      </c>
      <c r="S975" s="4">
        <f t="shared" si="173"/>
        <v>0</v>
      </c>
      <c r="U975" s="4">
        <f t="shared" si="176"/>
        <v>0</v>
      </c>
      <c r="W975" s="4">
        <f t="shared" si="174"/>
        <v>0</v>
      </c>
      <c r="Y975" s="4">
        <f t="shared" si="175"/>
        <v>0</v>
      </c>
    </row>
    <row r="976" spans="1:25" hidden="1" outlineLevel="1" x14ac:dyDescent="0.35">
      <c r="A976" s="39" t="s">
        <v>2314</v>
      </c>
      <c r="B976" s="39" t="s">
        <v>109</v>
      </c>
      <c r="C976" s="39" t="s">
        <v>2315</v>
      </c>
      <c r="D976" s="39" t="s">
        <v>109</v>
      </c>
      <c r="E976" s="40" t="s">
        <v>109</v>
      </c>
      <c r="F976" s="39" t="s">
        <v>41</v>
      </c>
      <c r="G976" s="39" t="s">
        <v>110</v>
      </c>
      <c r="H976" s="47">
        <v>0</v>
      </c>
      <c r="I976" s="36">
        <f t="shared" si="169"/>
        <v>0</v>
      </c>
      <c r="J976" s="37">
        <f t="shared" si="167"/>
        <v>0</v>
      </c>
      <c r="K976" s="37">
        <f t="shared" si="168"/>
        <v>0</v>
      </c>
      <c r="M976" s="37">
        <f t="shared" si="170"/>
        <v>0</v>
      </c>
      <c r="O976" s="4">
        <f t="shared" si="171"/>
        <v>0</v>
      </c>
      <c r="Q976" s="4">
        <f t="shared" si="172"/>
        <v>0</v>
      </c>
      <c r="S976" s="4">
        <f t="shared" si="173"/>
        <v>0</v>
      </c>
      <c r="U976" s="4">
        <f t="shared" si="176"/>
        <v>0</v>
      </c>
      <c r="W976" s="4">
        <f t="shared" si="174"/>
        <v>0</v>
      </c>
      <c r="Y976" s="4">
        <f t="shared" si="175"/>
        <v>0</v>
      </c>
    </row>
    <row r="977" spans="1:25" hidden="1" outlineLevel="1" x14ac:dyDescent="0.35">
      <c r="A977" s="39" t="s">
        <v>2316</v>
      </c>
      <c r="B977" s="39" t="s">
        <v>109</v>
      </c>
      <c r="C977" s="39" t="s">
        <v>2317</v>
      </c>
      <c r="D977" s="39" t="s">
        <v>2318</v>
      </c>
      <c r="E977" s="40" t="s">
        <v>302</v>
      </c>
      <c r="F977" s="39" t="s">
        <v>41</v>
      </c>
      <c r="G977" s="39" t="s">
        <v>110</v>
      </c>
      <c r="H977" s="47">
        <v>0</v>
      </c>
      <c r="I977" s="36">
        <f t="shared" si="169"/>
        <v>0</v>
      </c>
      <c r="J977" s="37">
        <f t="shared" si="167"/>
        <v>0</v>
      </c>
      <c r="K977" s="37">
        <f t="shared" si="168"/>
        <v>0</v>
      </c>
      <c r="M977" s="37">
        <f t="shared" si="170"/>
        <v>0</v>
      </c>
      <c r="O977" s="4">
        <f t="shared" si="171"/>
        <v>0</v>
      </c>
      <c r="Q977" s="4">
        <f t="shared" si="172"/>
        <v>0</v>
      </c>
      <c r="S977" s="4">
        <f t="shared" si="173"/>
        <v>0</v>
      </c>
      <c r="U977" s="4">
        <f t="shared" si="176"/>
        <v>0</v>
      </c>
      <c r="W977" s="4">
        <f t="shared" si="174"/>
        <v>0</v>
      </c>
      <c r="Y977" s="4">
        <f t="shared" si="175"/>
        <v>0</v>
      </c>
    </row>
    <row r="978" spans="1:25" hidden="1" outlineLevel="1" x14ac:dyDescent="0.35">
      <c r="A978" s="39" t="s">
        <v>2319</v>
      </c>
      <c r="B978" s="39" t="s">
        <v>109</v>
      </c>
      <c r="C978" s="39" t="s">
        <v>109</v>
      </c>
      <c r="D978" s="39" t="s">
        <v>2320</v>
      </c>
      <c r="E978" s="40" t="s">
        <v>251</v>
      </c>
      <c r="F978" s="39" t="s">
        <v>41</v>
      </c>
      <c r="G978" s="39" t="s">
        <v>110</v>
      </c>
      <c r="H978" s="47">
        <v>0</v>
      </c>
      <c r="I978" s="36">
        <f t="shared" si="169"/>
        <v>0</v>
      </c>
      <c r="J978" s="37">
        <f t="shared" si="167"/>
        <v>0</v>
      </c>
      <c r="K978" s="37">
        <f t="shared" si="168"/>
        <v>0</v>
      </c>
      <c r="M978" s="37">
        <f t="shared" si="170"/>
        <v>0</v>
      </c>
      <c r="O978" s="4">
        <f t="shared" si="171"/>
        <v>0</v>
      </c>
      <c r="Q978" s="4">
        <f t="shared" si="172"/>
        <v>0</v>
      </c>
      <c r="S978" s="4">
        <f t="shared" si="173"/>
        <v>0</v>
      </c>
      <c r="U978" s="4">
        <f t="shared" si="176"/>
        <v>0</v>
      </c>
      <c r="W978" s="4">
        <f t="shared" si="174"/>
        <v>0</v>
      </c>
      <c r="Y978" s="4">
        <f t="shared" si="175"/>
        <v>0</v>
      </c>
    </row>
    <row r="979" spans="1:25" hidden="1" outlineLevel="1" x14ac:dyDescent="0.35">
      <c r="A979" s="39" t="s">
        <v>2321</v>
      </c>
      <c r="B979" s="39" t="s">
        <v>109</v>
      </c>
      <c r="C979" s="39" t="s">
        <v>2322</v>
      </c>
      <c r="D979" s="39" t="s">
        <v>109</v>
      </c>
      <c r="E979" s="40" t="s">
        <v>109</v>
      </c>
      <c r="F979" s="39" t="s">
        <v>41</v>
      </c>
      <c r="G979" s="39" t="s">
        <v>110</v>
      </c>
      <c r="H979" s="47">
        <v>0</v>
      </c>
      <c r="I979" s="36">
        <f t="shared" si="169"/>
        <v>0</v>
      </c>
      <c r="J979" s="37">
        <f t="shared" si="167"/>
        <v>0</v>
      </c>
      <c r="K979" s="37">
        <f t="shared" si="168"/>
        <v>0</v>
      </c>
      <c r="M979" s="37">
        <f t="shared" si="170"/>
        <v>0</v>
      </c>
      <c r="O979" s="4">
        <f t="shared" si="171"/>
        <v>0</v>
      </c>
      <c r="Q979" s="4">
        <f t="shared" si="172"/>
        <v>0</v>
      </c>
      <c r="S979" s="4">
        <f t="shared" si="173"/>
        <v>0</v>
      </c>
      <c r="U979" s="4">
        <f t="shared" si="176"/>
        <v>0</v>
      </c>
      <c r="W979" s="4">
        <f t="shared" si="174"/>
        <v>0</v>
      </c>
      <c r="Y979" s="4">
        <f t="shared" si="175"/>
        <v>0</v>
      </c>
    </row>
    <row r="980" spans="1:25" hidden="1" outlineLevel="1" x14ac:dyDescent="0.35">
      <c r="A980" s="39" t="s">
        <v>2323</v>
      </c>
      <c r="B980" s="39" t="s">
        <v>109</v>
      </c>
      <c r="C980" s="39" t="s">
        <v>2324</v>
      </c>
      <c r="D980" s="39" t="s">
        <v>2325</v>
      </c>
      <c r="E980" s="40" t="s">
        <v>114</v>
      </c>
      <c r="F980" s="39" t="s">
        <v>41</v>
      </c>
      <c r="G980" s="39" t="s">
        <v>110</v>
      </c>
      <c r="H980" s="47">
        <v>0</v>
      </c>
      <c r="I980" s="36">
        <f t="shared" si="169"/>
        <v>0</v>
      </c>
      <c r="J980" s="37">
        <f t="shared" si="167"/>
        <v>0</v>
      </c>
      <c r="K980" s="37">
        <f t="shared" si="168"/>
        <v>0</v>
      </c>
      <c r="M980" s="37">
        <f t="shared" si="170"/>
        <v>0</v>
      </c>
      <c r="O980" s="4">
        <f t="shared" si="171"/>
        <v>0</v>
      </c>
      <c r="Q980" s="4">
        <f t="shared" si="172"/>
        <v>0</v>
      </c>
      <c r="S980" s="4">
        <f t="shared" si="173"/>
        <v>0</v>
      </c>
      <c r="U980" s="4">
        <f t="shared" si="176"/>
        <v>0</v>
      </c>
      <c r="W980" s="4">
        <f t="shared" si="174"/>
        <v>0</v>
      </c>
      <c r="Y980" s="4">
        <f t="shared" si="175"/>
        <v>0</v>
      </c>
    </row>
    <row r="981" spans="1:25" hidden="1" outlineLevel="1" x14ac:dyDescent="0.35">
      <c r="A981" s="39" t="s">
        <v>2326</v>
      </c>
      <c r="B981" s="39" t="s">
        <v>109</v>
      </c>
      <c r="C981" s="39" t="s">
        <v>109</v>
      </c>
      <c r="D981" s="39" t="s">
        <v>2327</v>
      </c>
      <c r="E981" s="40" t="s">
        <v>109</v>
      </c>
      <c r="F981" s="39" t="s">
        <v>41</v>
      </c>
      <c r="G981" s="39" t="s">
        <v>110</v>
      </c>
      <c r="H981" s="47">
        <v>0</v>
      </c>
      <c r="I981" s="36">
        <f t="shared" si="169"/>
        <v>0</v>
      </c>
      <c r="J981" s="37">
        <f t="shared" si="167"/>
        <v>0</v>
      </c>
      <c r="K981" s="37">
        <f t="shared" si="168"/>
        <v>0</v>
      </c>
      <c r="M981" s="37">
        <f t="shared" si="170"/>
        <v>0</v>
      </c>
      <c r="O981" s="4">
        <f t="shared" si="171"/>
        <v>0</v>
      </c>
      <c r="Q981" s="4">
        <f t="shared" si="172"/>
        <v>0</v>
      </c>
      <c r="S981" s="4">
        <f t="shared" si="173"/>
        <v>0</v>
      </c>
      <c r="U981" s="4">
        <f t="shared" si="176"/>
        <v>0</v>
      </c>
      <c r="W981" s="4">
        <f t="shared" si="174"/>
        <v>0</v>
      </c>
      <c r="Y981" s="4">
        <f t="shared" si="175"/>
        <v>0</v>
      </c>
    </row>
    <row r="982" spans="1:25" hidden="1" outlineLevel="1" x14ac:dyDescent="0.35">
      <c r="A982" s="39" t="s">
        <v>2328</v>
      </c>
      <c r="B982" s="39" t="s">
        <v>109</v>
      </c>
      <c r="C982" s="39" t="s">
        <v>109</v>
      </c>
      <c r="D982" s="39" t="s">
        <v>2329</v>
      </c>
      <c r="E982" s="40" t="s">
        <v>230</v>
      </c>
      <c r="F982" s="39" t="s">
        <v>41</v>
      </c>
      <c r="G982" s="39" t="s">
        <v>110</v>
      </c>
      <c r="H982" s="47">
        <v>0</v>
      </c>
      <c r="I982" s="36">
        <f t="shared" si="169"/>
        <v>0</v>
      </c>
      <c r="J982" s="37">
        <f t="shared" si="167"/>
        <v>0</v>
      </c>
      <c r="K982" s="37">
        <f t="shared" si="168"/>
        <v>0</v>
      </c>
      <c r="M982" s="37">
        <f t="shared" si="170"/>
        <v>0</v>
      </c>
      <c r="O982" s="4">
        <f t="shared" si="171"/>
        <v>0</v>
      </c>
      <c r="Q982" s="4">
        <f t="shared" si="172"/>
        <v>0</v>
      </c>
      <c r="S982" s="4">
        <f t="shared" si="173"/>
        <v>0</v>
      </c>
      <c r="U982" s="4">
        <f t="shared" si="176"/>
        <v>0</v>
      </c>
      <c r="W982" s="4">
        <f t="shared" si="174"/>
        <v>0</v>
      </c>
      <c r="Y982" s="4">
        <f t="shared" si="175"/>
        <v>0</v>
      </c>
    </row>
    <row r="983" spans="1:25" hidden="1" outlineLevel="1" x14ac:dyDescent="0.35">
      <c r="A983" s="39" t="s">
        <v>2330</v>
      </c>
      <c r="B983" s="39" t="s">
        <v>2035</v>
      </c>
      <c r="C983" s="39" t="s">
        <v>109</v>
      </c>
      <c r="D983" s="39" t="s">
        <v>2331</v>
      </c>
      <c r="E983" s="40" t="s">
        <v>100</v>
      </c>
      <c r="F983" s="39" t="s">
        <v>101</v>
      </c>
      <c r="G983" s="39" t="s">
        <v>2034</v>
      </c>
      <c r="H983" s="47">
        <v>0</v>
      </c>
      <c r="I983" s="36">
        <f t="shared" si="169"/>
        <v>0</v>
      </c>
      <c r="J983" s="37">
        <f t="shared" si="167"/>
        <v>0</v>
      </c>
      <c r="K983" s="37">
        <f t="shared" si="168"/>
        <v>0</v>
      </c>
      <c r="M983" s="37">
        <f t="shared" si="170"/>
        <v>0</v>
      </c>
      <c r="O983" s="4">
        <f t="shared" si="171"/>
        <v>0</v>
      </c>
      <c r="Q983" s="4">
        <f t="shared" si="172"/>
        <v>0</v>
      </c>
      <c r="S983" s="4">
        <f t="shared" si="173"/>
        <v>0</v>
      </c>
      <c r="U983" s="4">
        <f t="shared" si="176"/>
        <v>0</v>
      </c>
      <c r="W983" s="4">
        <f t="shared" si="174"/>
        <v>0</v>
      </c>
      <c r="Y983" s="4">
        <f t="shared" si="175"/>
        <v>0</v>
      </c>
    </row>
    <row r="984" spans="1:25" hidden="1" outlineLevel="1" x14ac:dyDescent="0.35">
      <c r="A984" s="39" t="s">
        <v>2332</v>
      </c>
      <c r="B984" s="39" t="s">
        <v>2333</v>
      </c>
      <c r="C984" s="39" t="s">
        <v>109</v>
      </c>
      <c r="D984" s="39" t="s">
        <v>145</v>
      </c>
      <c r="E984" s="40" t="s">
        <v>146</v>
      </c>
      <c r="F984" s="39" t="s">
        <v>41</v>
      </c>
      <c r="G984" s="39" t="s">
        <v>110</v>
      </c>
      <c r="H984" s="47">
        <v>0</v>
      </c>
      <c r="I984" s="36">
        <f t="shared" si="169"/>
        <v>0</v>
      </c>
      <c r="J984" s="37">
        <f t="shared" si="167"/>
        <v>0</v>
      </c>
      <c r="K984" s="37">
        <f t="shared" si="168"/>
        <v>0</v>
      </c>
      <c r="M984" s="37">
        <f t="shared" si="170"/>
        <v>0</v>
      </c>
      <c r="O984" s="4">
        <f t="shared" si="171"/>
        <v>0</v>
      </c>
      <c r="Q984" s="4">
        <f t="shared" si="172"/>
        <v>0</v>
      </c>
      <c r="S984" s="4">
        <f t="shared" si="173"/>
        <v>0</v>
      </c>
      <c r="U984" s="4">
        <f t="shared" si="176"/>
        <v>0</v>
      </c>
      <c r="W984" s="4">
        <f t="shared" si="174"/>
        <v>0</v>
      </c>
      <c r="Y984" s="4">
        <f t="shared" si="175"/>
        <v>0</v>
      </c>
    </row>
    <row r="985" spans="1:25" hidden="1" outlineLevel="1" x14ac:dyDescent="0.35">
      <c r="A985" s="39" t="s">
        <v>2334</v>
      </c>
      <c r="B985" s="39" t="s">
        <v>1088</v>
      </c>
      <c r="C985" s="39" t="s">
        <v>2335</v>
      </c>
      <c r="D985" s="39" t="s">
        <v>1090</v>
      </c>
      <c r="E985" s="40" t="s">
        <v>51</v>
      </c>
      <c r="F985" s="39" t="s">
        <v>41</v>
      </c>
      <c r="G985" s="39" t="s">
        <v>1091</v>
      </c>
      <c r="H985" s="47">
        <v>0</v>
      </c>
      <c r="I985" s="36">
        <f t="shared" si="169"/>
        <v>0</v>
      </c>
      <c r="J985" s="37">
        <f t="shared" si="167"/>
        <v>0</v>
      </c>
      <c r="K985" s="37">
        <f t="shared" si="168"/>
        <v>0</v>
      </c>
      <c r="M985" s="37">
        <f t="shared" si="170"/>
        <v>0</v>
      </c>
      <c r="O985" s="4">
        <f t="shared" si="171"/>
        <v>0</v>
      </c>
      <c r="Q985" s="4">
        <f t="shared" si="172"/>
        <v>0</v>
      </c>
      <c r="S985" s="4">
        <f t="shared" si="173"/>
        <v>0</v>
      </c>
      <c r="U985" s="4">
        <f t="shared" si="176"/>
        <v>0</v>
      </c>
      <c r="W985" s="4">
        <f t="shared" si="174"/>
        <v>0</v>
      </c>
      <c r="Y985" s="4">
        <f t="shared" si="175"/>
        <v>0</v>
      </c>
    </row>
    <row r="986" spans="1:25" hidden="1" outlineLevel="1" x14ac:dyDescent="0.35">
      <c r="A986" s="39" t="s">
        <v>2336</v>
      </c>
      <c r="B986" s="39" t="s">
        <v>1088</v>
      </c>
      <c r="C986" s="39" t="s">
        <v>109</v>
      </c>
      <c r="D986" s="39" t="s">
        <v>1090</v>
      </c>
      <c r="E986" s="40" t="s">
        <v>51</v>
      </c>
      <c r="F986" s="39" t="s">
        <v>41</v>
      </c>
      <c r="G986" s="39" t="s">
        <v>1091</v>
      </c>
      <c r="H986" s="47">
        <v>0</v>
      </c>
      <c r="I986" s="36">
        <f t="shared" si="169"/>
        <v>0</v>
      </c>
      <c r="J986" s="37">
        <f t="shared" si="167"/>
        <v>0</v>
      </c>
      <c r="K986" s="37">
        <f t="shared" si="168"/>
        <v>0</v>
      </c>
      <c r="M986" s="37">
        <f t="shared" si="170"/>
        <v>0</v>
      </c>
      <c r="O986" s="4">
        <f t="shared" si="171"/>
        <v>0</v>
      </c>
      <c r="Q986" s="4">
        <f t="shared" si="172"/>
        <v>0</v>
      </c>
      <c r="S986" s="4">
        <f t="shared" si="173"/>
        <v>0</v>
      </c>
      <c r="U986" s="4">
        <f t="shared" si="176"/>
        <v>0</v>
      </c>
      <c r="W986" s="4">
        <f t="shared" si="174"/>
        <v>0</v>
      </c>
      <c r="Y986" s="4">
        <f t="shared" si="175"/>
        <v>0</v>
      </c>
    </row>
    <row r="987" spans="1:25" hidden="1" outlineLevel="1" x14ac:dyDescent="0.35">
      <c r="A987" s="39" t="s">
        <v>2337</v>
      </c>
      <c r="B987" s="39" t="s">
        <v>1088</v>
      </c>
      <c r="C987" s="39" t="s">
        <v>2338</v>
      </c>
      <c r="D987" s="39" t="s">
        <v>109</v>
      </c>
      <c r="E987" s="40" t="s">
        <v>109</v>
      </c>
      <c r="F987" s="39" t="s">
        <v>41</v>
      </c>
      <c r="G987" s="39" t="s">
        <v>110</v>
      </c>
      <c r="H987" s="47">
        <v>0</v>
      </c>
      <c r="I987" s="36">
        <f t="shared" si="169"/>
        <v>0</v>
      </c>
      <c r="J987" s="37">
        <f t="shared" si="167"/>
        <v>0</v>
      </c>
      <c r="K987" s="37">
        <f t="shared" si="168"/>
        <v>0</v>
      </c>
      <c r="M987" s="37">
        <f t="shared" si="170"/>
        <v>0</v>
      </c>
      <c r="O987" s="4">
        <f t="shared" si="171"/>
        <v>0</v>
      </c>
      <c r="Q987" s="4">
        <f t="shared" si="172"/>
        <v>0</v>
      </c>
      <c r="S987" s="4">
        <f t="shared" si="173"/>
        <v>0</v>
      </c>
      <c r="U987" s="4">
        <f t="shared" si="176"/>
        <v>0</v>
      </c>
      <c r="W987" s="4">
        <f t="shared" si="174"/>
        <v>0</v>
      </c>
      <c r="Y987" s="4">
        <f t="shared" si="175"/>
        <v>0</v>
      </c>
    </row>
    <row r="988" spans="1:25" hidden="1" outlineLevel="1" x14ac:dyDescent="0.35">
      <c r="A988" s="39" t="s">
        <v>2339</v>
      </c>
      <c r="B988" s="39" t="s">
        <v>959</v>
      </c>
      <c r="C988" s="39" t="s">
        <v>1989</v>
      </c>
      <c r="D988" s="39" t="s">
        <v>366</v>
      </c>
      <c r="E988" s="40" t="s">
        <v>367</v>
      </c>
      <c r="F988" s="39" t="s">
        <v>41</v>
      </c>
      <c r="G988" s="39" t="s">
        <v>110</v>
      </c>
      <c r="H988" s="47">
        <v>0</v>
      </c>
      <c r="I988" s="36">
        <f t="shared" si="169"/>
        <v>0</v>
      </c>
      <c r="J988" s="37">
        <f t="shared" si="167"/>
        <v>0</v>
      </c>
      <c r="K988" s="37">
        <f t="shared" si="168"/>
        <v>0</v>
      </c>
      <c r="M988" s="37">
        <f t="shared" si="170"/>
        <v>0</v>
      </c>
      <c r="O988" s="4">
        <f t="shared" si="171"/>
        <v>0</v>
      </c>
      <c r="Q988" s="4">
        <f t="shared" si="172"/>
        <v>0</v>
      </c>
      <c r="S988" s="4">
        <f t="shared" si="173"/>
        <v>0</v>
      </c>
      <c r="U988" s="4">
        <f t="shared" si="176"/>
        <v>0</v>
      </c>
      <c r="W988" s="4">
        <f t="shared" si="174"/>
        <v>0</v>
      </c>
      <c r="Y988" s="4">
        <f t="shared" si="175"/>
        <v>0</v>
      </c>
    </row>
    <row r="989" spans="1:25" hidden="1" outlineLevel="1" x14ac:dyDescent="0.35">
      <c r="A989" s="39" t="s">
        <v>2340</v>
      </c>
      <c r="B989" s="39" t="s">
        <v>959</v>
      </c>
      <c r="C989" s="39" t="s">
        <v>109</v>
      </c>
      <c r="D989" s="39" t="s">
        <v>366</v>
      </c>
      <c r="E989" s="40" t="s">
        <v>367</v>
      </c>
      <c r="F989" s="39" t="s">
        <v>41</v>
      </c>
      <c r="G989" s="39" t="s">
        <v>110</v>
      </c>
      <c r="H989" s="47">
        <v>0</v>
      </c>
      <c r="I989" s="36">
        <f t="shared" si="169"/>
        <v>0</v>
      </c>
      <c r="J989" s="37">
        <f t="shared" si="167"/>
        <v>0</v>
      </c>
      <c r="K989" s="37">
        <f t="shared" si="168"/>
        <v>0</v>
      </c>
      <c r="M989" s="37">
        <f t="shared" si="170"/>
        <v>0</v>
      </c>
      <c r="O989" s="4">
        <f t="shared" si="171"/>
        <v>0</v>
      </c>
      <c r="Q989" s="4">
        <f t="shared" si="172"/>
        <v>0</v>
      </c>
      <c r="S989" s="4">
        <f t="shared" si="173"/>
        <v>0</v>
      </c>
      <c r="U989" s="4">
        <f t="shared" si="176"/>
        <v>0</v>
      </c>
      <c r="W989" s="4">
        <f t="shared" si="174"/>
        <v>0</v>
      </c>
      <c r="Y989" s="4">
        <f t="shared" si="175"/>
        <v>0</v>
      </c>
    </row>
    <row r="990" spans="1:25" hidden="1" outlineLevel="1" x14ac:dyDescent="0.35">
      <c r="A990" s="39" t="s">
        <v>2341</v>
      </c>
      <c r="B990" s="39" t="s">
        <v>2131</v>
      </c>
      <c r="C990" s="39" t="s">
        <v>109</v>
      </c>
      <c r="D990" s="39" t="s">
        <v>2342</v>
      </c>
      <c r="E990" s="40" t="s">
        <v>56</v>
      </c>
      <c r="F990" s="39" t="s">
        <v>41</v>
      </c>
      <c r="G990" s="39" t="s">
        <v>2343</v>
      </c>
      <c r="H990" s="47">
        <v>0</v>
      </c>
      <c r="I990" s="36">
        <f t="shared" si="169"/>
        <v>0</v>
      </c>
      <c r="J990" s="37">
        <f t="shared" si="167"/>
        <v>0</v>
      </c>
      <c r="K990" s="37">
        <f t="shared" si="168"/>
        <v>0</v>
      </c>
      <c r="M990" s="37">
        <f t="shared" si="170"/>
        <v>0</v>
      </c>
      <c r="O990" s="4">
        <f t="shared" si="171"/>
        <v>0</v>
      </c>
      <c r="Q990" s="4">
        <f t="shared" si="172"/>
        <v>0</v>
      </c>
      <c r="S990" s="4">
        <f t="shared" si="173"/>
        <v>0</v>
      </c>
      <c r="U990" s="4">
        <f t="shared" si="176"/>
        <v>0</v>
      </c>
      <c r="W990" s="4">
        <f t="shared" si="174"/>
        <v>0</v>
      </c>
      <c r="Y990" s="4">
        <f t="shared" si="175"/>
        <v>0</v>
      </c>
    </row>
    <row r="991" spans="1:25" hidden="1" outlineLevel="1" x14ac:dyDescent="0.35">
      <c r="A991" s="39" t="s">
        <v>2344</v>
      </c>
      <c r="B991" s="39" t="s">
        <v>2131</v>
      </c>
      <c r="C991" s="39" t="s">
        <v>2345</v>
      </c>
      <c r="D991" s="39" t="s">
        <v>2346</v>
      </c>
      <c r="E991" s="40" t="s">
        <v>51</v>
      </c>
      <c r="F991" s="39" t="s">
        <v>41</v>
      </c>
      <c r="G991" s="39" t="s">
        <v>110</v>
      </c>
      <c r="H991" s="47">
        <v>0</v>
      </c>
      <c r="I991" s="36">
        <f t="shared" si="169"/>
        <v>0</v>
      </c>
      <c r="J991" s="37">
        <f t="shared" si="167"/>
        <v>0</v>
      </c>
      <c r="K991" s="37">
        <f t="shared" si="168"/>
        <v>0</v>
      </c>
      <c r="M991" s="37">
        <f t="shared" si="170"/>
        <v>0</v>
      </c>
      <c r="O991" s="4">
        <f t="shared" si="171"/>
        <v>0</v>
      </c>
      <c r="Q991" s="4">
        <f t="shared" si="172"/>
        <v>0</v>
      </c>
      <c r="S991" s="4">
        <f t="shared" si="173"/>
        <v>0</v>
      </c>
      <c r="U991" s="4">
        <f t="shared" si="176"/>
        <v>0</v>
      </c>
      <c r="W991" s="4">
        <f t="shared" si="174"/>
        <v>0</v>
      </c>
      <c r="Y991" s="4">
        <f t="shared" si="175"/>
        <v>0</v>
      </c>
    </row>
    <row r="992" spans="1:25" hidden="1" outlineLevel="1" x14ac:dyDescent="0.35">
      <c r="A992" s="39" t="s">
        <v>2347</v>
      </c>
      <c r="B992" s="39" t="s">
        <v>2131</v>
      </c>
      <c r="C992" s="39" t="s">
        <v>109</v>
      </c>
      <c r="D992" s="39" t="s">
        <v>466</v>
      </c>
      <c r="E992" s="40" t="s">
        <v>114</v>
      </c>
      <c r="F992" s="39" t="s">
        <v>41</v>
      </c>
      <c r="G992" s="39" t="s">
        <v>110</v>
      </c>
      <c r="H992" s="47">
        <v>0</v>
      </c>
      <c r="I992" s="36">
        <f t="shared" si="169"/>
        <v>0</v>
      </c>
      <c r="J992" s="37">
        <f t="shared" si="167"/>
        <v>0</v>
      </c>
      <c r="K992" s="37">
        <f t="shared" si="168"/>
        <v>0</v>
      </c>
      <c r="M992" s="37">
        <f t="shared" si="170"/>
        <v>0</v>
      </c>
      <c r="O992" s="4">
        <f t="shared" si="171"/>
        <v>0</v>
      </c>
      <c r="Q992" s="4">
        <f t="shared" si="172"/>
        <v>0</v>
      </c>
      <c r="S992" s="4">
        <f t="shared" si="173"/>
        <v>0</v>
      </c>
      <c r="U992" s="4">
        <f t="shared" si="176"/>
        <v>0</v>
      </c>
      <c r="W992" s="4">
        <f t="shared" si="174"/>
        <v>0</v>
      </c>
      <c r="Y992" s="4">
        <f t="shared" si="175"/>
        <v>0</v>
      </c>
    </row>
    <row r="993" spans="1:25" hidden="1" outlineLevel="1" x14ac:dyDescent="0.35">
      <c r="A993" s="39" t="s">
        <v>2348</v>
      </c>
      <c r="B993" s="39" t="s">
        <v>2131</v>
      </c>
      <c r="C993" s="39" t="s">
        <v>2349</v>
      </c>
      <c r="D993" s="39" t="s">
        <v>109</v>
      </c>
      <c r="E993" s="40" t="s">
        <v>507</v>
      </c>
      <c r="F993" s="39" t="s">
        <v>41</v>
      </c>
      <c r="G993" s="39" t="s">
        <v>110</v>
      </c>
      <c r="H993" s="47">
        <v>0</v>
      </c>
      <c r="I993" s="36">
        <f t="shared" si="169"/>
        <v>0</v>
      </c>
      <c r="J993" s="37">
        <f t="shared" si="167"/>
        <v>0</v>
      </c>
      <c r="K993" s="37">
        <f t="shared" si="168"/>
        <v>0</v>
      </c>
      <c r="M993" s="37">
        <f t="shared" si="170"/>
        <v>0</v>
      </c>
      <c r="O993" s="4">
        <f t="shared" si="171"/>
        <v>0</v>
      </c>
      <c r="Q993" s="4">
        <f t="shared" si="172"/>
        <v>0</v>
      </c>
      <c r="S993" s="4">
        <f t="shared" si="173"/>
        <v>0</v>
      </c>
      <c r="U993" s="4">
        <f t="shared" si="176"/>
        <v>0</v>
      </c>
      <c r="W993" s="4">
        <f t="shared" si="174"/>
        <v>0</v>
      </c>
      <c r="Y993" s="4">
        <f t="shared" si="175"/>
        <v>0</v>
      </c>
    </row>
    <row r="994" spans="1:25" hidden="1" outlineLevel="1" x14ac:dyDescent="0.35">
      <c r="A994" s="39" t="s">
        <v>2350</v>
      </c>
      <c r="B994" s="39" t="s">
        <v>2131</v>
      </c>
      <c r="C994" s="39" t="s">
        <v>109</v>
      </c>
      <c r="D994" s="39" t="s">
        <v>2351</v>
      </c>
      <c r="E994" s="40" t="s">
        <v>165</v>
      </c>
      <c r="F994" s="39" t="s">
        <v>41</v>
      </c>
      <c r="G994" s="39" t="s">
        <v>110</v>
      </c>
      <c r="H994" s="47">
        <v>0</v>
      </c>
      <c r="I994" s="36">
        <f t="shared" si="169"/>
        <v>0</v>
      </c>
      <c r="J994" s="37">
        <f t="shared" si="167"/>
        <v>0</v>
      </c>
      <c r="K994" s="37">
        <f t="shared" si="168"/>
        <v>0</v>
      </c>
      <c r="M994" s="37">
        <f t="shared" si="170"/>
        <v>0</v>
      </c>
      <c r="O994" s="4">
        <f t="shared" si="171"/>
        <v>0</v>
      </c>
      <c r="Q994" s="4">
        <f t="shared" si="172"/>
        <v>0</v>
      </c>
      <c r="S994" s="4">
        <f t="shared" si="173"/>
        <v>0</v>
      </c>
      <c r="U994" s="4">
        <f t="shared" si="176"/>
        <v>0</v>
      </c>
      <c r="W994" s="4">
        <f t="shared" si="174"/>
        <v>0</v>
      </c>
      <c r="Y994" s="4">
        <f t="shared" si="175"/>
        <v>0</v>
      </c>
    </row>
    <row r="995" spans="1:25" hidden="1" outlineLevel="1" x14ac:dyDescent="0.35">
      <c r="A995" s="39" t="s">
        <v>2352</v>
      </c>
      <c r="B995" s="39" t="s">
        <v>909</v>
      </c>
      <c r="C995" s="39" t="s">
        <v>109</v>
      </c>
      <c r="D995" s="39" t="s">
        <v>911</v>
      </c>
      <c r="E995" s="40" t="s">
        <v>912</v>
      </c>
      <c r="F995" s="39" t="s">
        <v>101</v>
      </c>
      <c r="G995" s="39" t="s">
        <v>110</v>
      </c>
      <c r="H995" s="47">
        <v>0</v>
      </c>
      <c r="I995" s="36">
        <f t="shared" si="169"/>
        <v>0</v>
      </c>
      <c r="J995" s="37">
        <f t="shared" si="167"/>
        <v>0</v>
      </c>
      <c r="K995" s="37">
        <f t="shared" si="168"/>
        <v>0</v>
      </c>
      <c r="M995" s="37">
        <f t="shared" si="170"/>
        <v>0</v>
      </c>
      <c r="O995" s="4">
        <f t="shared" si="171"/>
        <v>0</v>
      </c>
      <c r="Q995" s="4">
        <f t="shared" si="172"/>
        <v>0</v>
      </c>
      <c r="S995" s="4">
        <f t="shared" si="173"/>
        <v>0</v>
      </c>
      <c r="U995" s="4">
        <f t="shared" si="176"/>
        <v>0</v>
      </c>
      <c r="W995" s="4">
        <f t="shared" si="174"/>
        <v>0</v>
      </c>
      <c r="Y995" s="4">
        <f t="shared" si="175"/>
        <v>0</v>
      </c>
    </row>
    <row r="996" spans="1:25" hidden="1" outlineLevel="1" x14ac:dyDescent="0.35">
      <c r="A996" s="39" t="s">
        <v>2353</v>
      </c>
      <c r="B996" s="39" t="s">
        <v>909</v>
      </c>
      <c r="C996" s="39" t="s">
        <v>109</v>
      </c>
      <c r="D996" s="39" t="s">
        <v>109</v>
      </c>
      <c r="E996" s="40" t="s">
        <v>196</v>
      </c>
      <c r="F996" s="39" t="s">
        <v>41</v>
      </c>
      <c r="G996" s="39" t="s">
        <v>110</v>
      </c>
      <c r="H996" s="47">
        <v>0</v>
      </c>
      <c r="I996" s="36">
        <f t="shared" si="169"/>
        <v>0</v>
      </c>
      <c r="J996" s="37">
        <f t="shared" si="167"/>
        <v>0</v>
      </c>
      <c r="K996" s="37">
        <f t="shared" si="168"/>
        <v>0</v>
      </c>
      <c r="M996" s="37">
        <f t="shared" si="170"/>
        <v>0</v>
      </c>
      <c r="O996" s="4">
        <f t="shared" si="171"/>
        <v>0</v>
      </c>
      <c r="Q996" s="4">
        <f t="shared" si="172"/>
        <v>0</v>
      </c>
      <c r="S996" s="4">
        <f t="shared" si="173"/>
        <v>0</v>
      </c>
      <c r="U996" s="4">
        <f t="shared" si="176"/>
        <v>0</v>
      </c>
      <c r="W996" s="4">
        <f t="shared" si="174"/>
        <v>0</v>
      </c>
      <c r="Y996" s="4">
        <f t="shared" si="175"/>
        <v>0</v>
      </c>
    </row>
    <row r="997" spans="1:25" hidden="1" outlineLevel="1" x14ac:dyDescent="0.35">
      <c r="A997" s="39" t="s">
        <v>2354</v>
      </c>
      <c r="B997" s="39" t="s">
        <v>2347</v>
      </c>
      <c r="C997" s="39" t="s">
        <v>2355</v>
      </c>
      <c r="D997" s="39" t="s">
        <v>2356</v>
      </c>
      <c r="E997" s="40" t="s">
        <v>165</v>
      </c>
      <c r="F997" s="39" t="s">
        <v>41</v>
      </c>
      <c r="G997" s="39" t="s">
        <v>2357</v>
      </c>
      <c r="H997" s="47">
        <v>0</v>
      </c>
      <c r="I997" s="36">
        <f t="shared" si="169"/>
        <v>0</v>
      </c>
      <c r="J997" s="37">
        <f t="shared" si="167"/>
        <v>0</v>
      </c>
      <c r="K997" s="37">
        <f t="shared" si="168"/>
        <v>0</v>
      </c>
      <c r="M997" s="37">
        <f t="shared" si="170"/>
        <v>0</v>
      </c>
      <c r="O997" s="4">
        <f t="shared" si="171"/>
        <v>0</v>
      </c>
      <c r="Q997" s="4">
        <f t="shared" si="172"/>
        <v>0</v>
      </c>
      <c r="S997" s="4">
        <f t="shared" si="173"/>
        <v>0</v>
      </c>
      <c r="U997" s="4">
        <f t="shared" si="176"/>
        <v>0</v>
      </c>
      <c r="W997" s="4">
        <f t="shared" si="174"/>
        <v>0</v>
      </c>
      <c r="Y997" s="4">
        <f t="shared" si="175"/>
        <v>0</v>
      </c>
    </row>
    <row r="998" spans="1:25" hidden="1" outlineLevel="1" x14ac:dyDescent="0.35">
      <c r="A998" s="39" t="s">
        <v>2358</v>
      </c>
      <c r="B998" s="39" t="s">
        <v>2347</v>
      </c>
      <c r="C998" s="39" t="s">
        <v>2359</v>
      </c>
      <c r="D998" s="39" t="s">
        <v>2356</v>
      </c>
      <c r="E998" s="40" t="s">
        <v>165</v>
      </c>
      <c r="F998" s="39" t="s">
        <v>41</v>
      </c>
      <c r="G998" s="39" t="s">
        <v>2360</v>
      </c>
      <c r="H998" s="47">
        <v>0</v>
      </c>
      <c r="I998" s="36">
        <f t="shared" si="169"/>
        <v>0</v>
      </c>
      <c r="J998" s="37">
        <f t="shared" si="167"/>
        <v>0</v>
      </c>
      <c r="K998" s="37">
        <f t="shared" si="168"/>
        <v>0</v>
      </c>
      <c r="M998" s="37">
        <f t="shared" si="170"/>
        <v>0</v>
      </c>
      <c r="O998" s="4">
        <f t="shared" si="171"/>
        <v>0</v>
      </c>
      <c r="Q998" s="4">
        <f t="shared" si="172"/>
        <v>0</v>
      </c>
      <c r="S998" s="4">
        <f t="shared" si="173"/>
        <v>0</v>
      </c>
      <c r="U998" s="4">
        <f t="shared" si="176"/>
        <v>0</v>
      </c>
      <c r="W998" s="4">
        <f t="shared" si="174"/>
        <v>0</v>
      </c>
      <c r="Y998" s="4">
        <f t="shared" si="175"/>
        <v>0</v>
      </c>
    </row>
    <row r="999" spans="1:25" hidden="1" outlineLevel="1" x14ac:dyDescent="0.35">
      <c r="A999" s="39" t="s">
        <v>2361</v>
      </c>
      <c r="B999" s="39" t="s">
        <v>2136</v>
      </c>
      <c r="C999" s="39" t="s">
        <v>2362</v>
      </c>
      <c r="D999" s="39" t="s">
        <v>817</v>
      </c>
      <c r="E999" s="40" t="s">
        <v>146</v>
      </c>
      <c r="F999" s="39" t="s">
        <v>41</v>
      </c>
      <c r="G999" s="39" t="s">
        <v>110</v>
      </c>
      <c r="H999" s="47">
        <v>0</v>
      </c>
      <c r="I999" s="36">
        <f t="shared" si="169"/>
        <v>0</v>
      </c>
      <c r="J999" s="37">
        <f t="shared" si="167"/>
        <v>0</v>
      </c>
      <c r="K999" s="37">
        <f t="shared" si="168"/>
        <v>0</v>
      </c>
      <c r="M999" s="37">
        <f t="shared" si="170"/>
        <v>0</v>
      </c>
      <c r="O999" s="4">
        <f t="shared" si="171"/>
        <v>0</v>
      </c>
      <c r="Q999" s="4">
        <f t="shared" si="172"/>
        <v>0</v>
      </c>
      <c r="S999" s="4">
        <f t="shared" si="173"/>
        <v>0</v>
      </c>
      <c r="U999" s="4">
        <f t="shared" si="176"/>
        <v>0</v>
      </c>
      <c r="W999" s="4">
        <f t="shared" si="174"/>
        <v>0</v>
      </c>
      <c r="Y999" s="4">
        <f t="shared" si="175"/>
        <v>0</v>
      </c>
    </row>
    <row r="1000" spans="1:25" hidden="1" outlineLevel="1" x14ac:dyDescent="0.35">
      <c r="A1000" s="39" t="s">
        <v>2363</v>
      </c>
      <c r="B1000" s="39" t="s">
        <v>2136</v>
      </c>
      <c r="C1000" s="39" t="s">
        <v>109</v>
      </c>
      <c r="D1000" s="39" t="s">
        <v>817</v>
      </c>
      <c r="E1000" s="40" t="s">
        <v>146</v>
      </c>
      <c r="F1000" s="39" t="s">
        <v>41</v>
      </c>
      <c r="G1000" s="39" t="s">
        <v>110</v>
      </c>
      <c r="H1000" s="47">
        <v>0</v>
      </c>
      <c r="I1000" s="36">
        <f t="shared" si="169"/>
        <v>0</v>
      </c>
      <c r="J1000" s="37">
        <f t="shared" si="167"/>
        <v>0</v>
      </c>
      <c r="K1000" s="37">
        <f t="shared" si="168"/>
        <v>0</v>
      </c>
      <c r="M1000" s="37">
        <f t="shared" si="170"/>
        <v>0</v>
      </c>
      <c r="O1000" s="4">
        <f t="shared" si="171"/>
        <v>0</v>
      </c>
      <c r="Q1000" s="4">
        <f t="shared" si="172"/>
        <v>0</v>
      </c>
      <c r="S1000" s="4">
        <f t="shared" si="173"/>
        <v>0</v>
      </c>
      <c r="U1000" s="4">
        <f t="shared" si="176"/>
        <v>0</v>
      </c>
      <c r="W1000" s="4">
        <f t="shared" si="174"/>
        <v>0</v>
      </c>
      <c r="Y1000" s="4">
        <f t="shared" si="175"/>
        <v>0</v>
      </c>
    </row>
    <row r="1001" spans="1:25" hidden="1" outlineLevel="1" x14ac:dyDescent="0.35">
      <c r="A1001" s="39" t="s">
        <v>2364</v>
      </c>
      <c r="B1001" s="39" t="s">
        <v>834</v>
      </c>
      <c r="C1001" s="39" t="s">
        <v>2365</v>
      </c>
      <c r="D1001" s="39" t="s">
        <v>2366</v>
      </c>
      <c r="E1001" s="40" t="s">
        <v>100</v>
      </c>
      <c r="F1001" s="39" t="s">
        <v>101</v>
      </c>
      <c r="G1001" s="39" t="s">
        <v>110</v>
      </c>
      <c r="H1001" s="47">
        <v>0</v>
      </c>
      <c r="I1001" s="36">
        <f t="shared" si="169"/>
        <v>0</v>
      </c>
      <c r="J1001" s="37">
        <f t="shared" si="167"/>
        <v>0</v>
      </c>
      <c r="K1001" s="37">
        <f t="shared" si="168"/>
        <v>0</v>
      </c>
      <c r="M1001" s="37">
        <f t="shared" si="170"/>
        <v>0</v>
      </c>
      <c r="O1001" s="4">
        <f t="shared" si="171"/>
        <v>0</v>
      </c>
      <c r="Q1001" s="4">
        <f t="shared" si="172"/>
        <v>0</v>
      </c>
      <c r="S1001" s="4">
        <f t="shared" si="173"/>
        <v>0</v>
      </c>
      <c r="U1001" s="4">
        <f t="shared" si="176"/>
        <v>0</v>
      </c>
      <c r="W1001" s="4">
        <f t="shared" si="174"/>
        <v>0</v>
      </c>
      <c r="Y1001" s="4">
        <f t="shared" si="175"/>
        <v>0</v>
      </c>
    </row>
    <row r="1002" spans="1:25" hidden="1" outlineLevel="1" x14ac:dyDescent="0.35">
      <c r="A1002" s="39" t="s">
        <v>2367</v>
      </c>
      <c r="B1002" s="39" t="s">
        <v>834</v>
      </c>
      <c r="C1002" s="39" t="s">
        <v>2368</v>
      </c>
      <c r="D1002" s="39" t="s">
        <v>2369</v>
      </c>
      <c r="E1002" s="40" t="s">
        <v>912</v>
      </c>
      <c r="F1002" s="39" t="s">
        <v>101</v>
      </c>
      <c r="G1002" s="39" t="s">
        <v>110</v>
      </c>
      <c r="H1002" s="47">
        <v>0</v>
      </c>
      <c r="I1002" s="36">
        <f t="shared" si="169"/>
        <v>0</v>
      </c>
      <c r="J1002" s="37">
        <f t="shared" si="167"/>
        <v>0</v>
      </c>
      <c r="K1002" s="37">
        <f t="shared" si="168"/>
        <v>0</v>
      </c>
      <c r="M1002" s="37">
        <f t="shared" si="170"/>
        <v>0</v>
      </c>
      <c r="O1002" s="4">
        <f t="shared" si="171"/>
        <v>0</v>
      </c>
      <c r="Q1002" s="4">
        <f t="shared" si="172"/>
        <v>0</v>
      </c>
      <c r="S1002" s="4">
        <f t="shared" si="173"/>
        <v>0</v>
      </c>
      <c r="U1002" s="4">
        <f t="shared" si="176"/>
        <v>0</v>
      </c>
      <c r="W1002" s="4">
        <f t="shared" si="174"/>
        <v>0</v>
      </c>
      <c r="Y1002" s="4">
        <f t="shared" si="175"/>
        <v>0</v>
      </c>
    </row>
    <row r="1003" spans="1:25" hidden="1" outlineLevel="1" x14ac:dyDescent="0.35">
      <c r="A1003" s="39" t="s">
        <v>2370</v>
      </c>
      <c r="B1003" s="39" t="s">
        <v>834</v>
      </c>
      <c r="C1003" s="39" t="s">
        <v>2371</v>
      </c>
      <c r="D1003" s="39" t="s">
        <v>2372</v>
      </c>
      <c r="E1003" s="40" t="s">
        <v>100</v>
      </c>
      <c r="F1003" s="39" t="s">
        <v>101</v>
      </c>
      <c r="G1003" s="39" t="s">
        <v>110</v>
      </c>
      <c r="H1003" s="47">
        <v>0</v>
      </c>
      <c r="I1003" s="36">
        <f t="shared" si="169"/>
        <v>0</v>
      </c>
      <c r="J1003" s="37">
        <f t="shared" si="167"/>
        <v>0</v>
      </c>
      <c r="K1003" s="37">
        <f t="shared" si="168"/>
        <v>0</v>
      </c>
      <c r="M1003" s="37">
        <f t="shared" si="170"/>
        <v>0</v>
      </c>
      <c r="O1003" s="4">
        <f t="shared" si="171"/>
        <v>0</v>
      </c>
      <c r="Q1003" s="4">
        <f t="shared" si="172"/>
        <v>0</v>
      </c>
      <c r="S1003" s="4">
        <f t="shared" si="173"/>
        <v>0</v>
      </c>
      <c r="U1003" s="4">
        <f t="shared" si="176"/>
        <v>0</v>
      </c>
      <c r="W1003" s="4">
        <f t="shared" si="174"/>
        <v>0</v>
      </c>
      <c r="Y1003" s="4">
        <f t="shared" si="175"/>
        <v>0</v>
      </c>
    </row>
    <row r="1004" spans="1:25" hidden="1" outlineLevel="1" x14ac:dyDescent="0.35">
      <c r="A1004" s="39" t="s">
        <v>2373</v>
      </c>
      <c r="B1004" s="39" t="s">
        <v>1816</v>
      </c>
      <c r="C1004" s="39" t="s">
        <v>109</v>
      </c>
      <c r="D1004" s="39" t="s">
        <v>2374</v>
      </c>
      <c r="E1004" s="40" t="s">
        <v>230</v>
      </c>
      <c r="F1004" s="39" t="s">
        <v>41</v>
      </c>
      <c r="G1004" s="39" t="s">
        <v>2375</v>
      </c>
      <c r="H1004" s="47">
        <v>0</v>
      </c>
      <c r="I1004" s="36">
        <f t="shared" si="169"/>
        <v>0</v>
      </c>
      <c r="J1004" s="37">
        <f t="shared" si="167"/>
        <v>0</v>
      </c>
      <c r="K1004" s="37">
        <f t="shared" si="168"/>
        <v>0</v>
      </c>
      <c r="M1004" s="37">
        <f t="shared" si="170"/>
        <v>0</v>
      </c>
      <c r="O1004" s="4">
        <f t="shared" si="171"/>
        <v>0</v>
      </c>
      <c r="Q1004" s="4">
        <f t="shared" si="172"/>
        <v>0</v>
      </c>
      <c r="S1004" s="4">
        <f t="shared" si="173"/>
        <v>0</v>
      </c>
      <c r="U1004" s="4">
        <f t="shared" si="176"/>
        <v>0</v>
      </c>
      <c r="W1004" s="4">
        <f t="shared" si="174"/>
        <v>0</v>
      </c>
      <c r="Y1004" s="4">
        <f t="shared" si="175"/>
        <v>0</v>
      </c>
    </row>
    <row r="1005" spans="1:25" hidden="1" outlineLevel="1" x14ac:dyDescent="0.35">
      <c r="A1005" s="39" t="s">
        <v>2376</v>
      </c>
      <c r="B1005" s="39" t="s">
        <v>2004</v>
      </c>
      <c r="C1005" s="39" t="s">
        <v>109</v>
      </c>
      <c r="D1005" s="39" t="s">
        <v>2377</v>
      </c>
      <c r="E1005" s="40" t="s">
        <v>100</v>
      </c>
      <c r="F1005" s="39" t="s">
        <v>101</v>
      </c>
      <c r="G1005" s="39" t="s">
        <v>2378</v>
      </c>
      <c r="H1005" s="47">
        <v>0</v>
      </c>
      <c r="I1005" s="36">
        <f t="shared" ref="I1005:I1068" si="177">$E$7*H1005</f>
        <v>0</v>
      </c>
      <c r="J1005" s="37">
        <f t="shared" si="167"/>
        <v>0</v>
      </c>
      <c r="K1005" s="37">
        <f t="shared" si="168"/>
        <v>0</v>
      </c>
      <c r="M1005" s="37">
        <f t="shared" ref="M1005:M1006" si="178">0.5*(AVERAGE(J1005:K1005))</f>
        <v>0</v>
      </c>
      <c r="O1005" s="4">
        <f t="shared" ref="O1005:O1006" si="179">I1005*$E$3</f>
        <v>0</v>
      </c>
      <c r="Q1005" s="4">
        <f t="shared" ref="Q1005:Q1006" si="180">I1005*$E$3/12</f>
        <v>0</v>
      </c>
      <c r="S1005" s="4">
        <f t="shared" ref="S1005:S1006" si="181">Q1005*$E$4</f>
        <v>0</v>
      </c>
      <c r="U1005" s="4">
        <f t="shared" si="176"/>
        <v>0</v>
      </c>
      <c r="W1005" s="4">
        <f t="shared" ref="W1005:W1006" si="182">S1005*$E$5</f>
        <v>0</v>
      </c>
      <c r="Y1005" s="4">
        <f t="shared" ref="Y1005:Y1006" si="183">M1005*$E$6</f>
        <v>0</v>
      </c>
    </row>
    <row r="1006" spans="1:25" hidden="1" outlineLevel="1" x14ac:dyDescent="0.35">
      <c r="A1006" s="39" t="s">
        <v>2379</v>
      </c>
      <c r="B1006" s="39" t="s">
        <v>2002</v>
      </c>
      <c r="C1006" s="39" t="s">
        <v>109</v>
      </c>
      <c r="D1006" s="39" t="s">
        <v>2380</v>
      </c>
      <c r="E1006" s="40" t="s">
        <v>161</v>
      </c>
      <c r="F1006" s="39" t="s">
        <v>101</v>
      </c>
      <c r="G1006" s="39" t="s">
        <v>2381</v>
      </c>
      <c r="H1006" s="47">
        <v>0</v>
      </c>
      <c r="I1006" s="36">
        <f t="shared" si="177"/>
        <v>0</v>
      </c>
      <c r="J1006" s="37">
        <f t="shared" si="167"/>
        <v>0</v>
      </c>
      <c r="K1006" s="37">
        <f t="shared" si="168"/>
        <v>0</v>
      </c>
      <c r="M1006" s="37">
        <f t="shared" si="178"/>
        <v>0</v>
      </c>
      <c r="O1006" s="4">
        <f t="shared" si="179"/>
        <v>0</v>
      </c>
      <c r="Q1006" s="4">
        <f t="shared" si="180"/>
        <v>0</v>
      </c>
      <c r="S1006" s="4">
        <f t="shared" si="181"/>
        <v>0</v>
      </c>
      <c r="U1006" s="4">
        <f t="shared" ref="U1006" si="184">W1006*12</f>
        <v>0</v>
      </c>
      <c r="W1006" s="4">
        <f t="shared" si="182"/>
        <v>0</v>
      </c>
      <c r="Y1006" s="4">
        <f t="shared" si="183"/>
        <v>0</v>
      </c>
    </row>
    <row r="1007" spans="1:25" collapsed="1" x14ac:dyDescent="0.35"/>
    <row r="1008" spans="1:25" ht="13" x14ac:dyDescent="0.3">
      <c r="A1008" s="19" t="s">
        <v>2382</v>
      </c>
      <c r="B1008" s="20"/>
      <c r="C1008" s="19">
        <v>6</v>
      </c>
      <c r="D1008" s="20"/>
      <c r="E1008" s="21"/>
      <c r="F1008" s="20"/>
      <c r="G1008" s="20"/>
      <c r="H1008" s="19">
        <v>140000</v>
      </c>
      <c r="I1008" s="19">
        <f>H1008*E8</f>
        <v>3565577491.1485577</v>
      </c>
      <c r="J1008" s="50">
        <f>H1008*F8</f>
        <v>25724.561268741661</v>
      </c>
      <c r="K1008" s="50">
        <f>H1008*G8</f>
        <v>35404.512664371461</v>
      </c>
      <c r="M1008" s="50">
        <f t="shared" ref="M1008:M1017" si="185">0.5*(AVERAGE(J1008:K1008))</f>
        <v>15282.26848327828</v>
      </c>
      <c r="O1008" s="22">
        <f t="shared" ref="O1008:O1017" si="186">I1008*$E$3</f>
        <v>13370915591.807091</v>
      </c>
      <c r="Q1008" s="22">
        <f>I1008*E3/12</f>
        <v>1114242965.9839242</v>
      </c>
      <c r="S1008" s="22">
        <f t="shared" ref="S1008" si="187">Q1008*$E$4</f>
        <v>44569718.639356963</v>
      </c>
      <c r="U1008" s="22">
        <f>W1008*12</f>
        <v>160450987.10168505</v>
      </c>
      <c r="W1008" s="22">
        <f t="shared" ref="W1008" si="188">S1008*$E$5</f>
        <v>13370915.591807088</v>
      </c>
      <c r="Y1008" s="22">
        <f t="shared" ref="Y1008" si="189">M1008*$E$6</f>
        <v>7641134.2416391401</v>
      </c>
    </row>
    <row r="1010" spans="1:25" hidden="1" outlineLevel="1" x14ac:dyDescent="0.35">
      <c r="A1010" s="51" t="s">
        <v>2383</v>
      </c>
      <c r="H1010" s="10">
        <v>26430</v>
      </c>
      <c r="I1010" s="36">
        <f>H1010*$E$9</f>
        <v>673130093.50754559</v>
      </c>
      <c r="J1010" s="37">
        <f>H1010*$F$9</f>
        <v>4856.4296738060157</v>
      </c>
      <c r="K1010" s="37">
        <f>H1010*$G$9</f>
        <v>6683.8662122809837</v>
      </c>
      <c r="M1010" s="37">
        <f t="shared" si="185"/>
        <v>2885.0739715217496</v>
      </c>
      <c r="O1010" s="4">
        <f t="shared" si="186"/>
        <v>2524237850.653296</v>
      </c>
      <c r="Q1010" s="4">
        <f t="shared" ref="Q1010:Q1017" si="190">I1010*$E$3/12</f>
        <v>210353154.22110799</v>
      </c>
      <c r="S1010" s="4">
        <f t="shared" ref="S1010:S1017" si="191">Q1010*$E$4</f>
        <v>8414126.1688443199</v>
      </c>
      <c r="U1010" s="4">
        <f>W1010*12</f>
        <v>30290854.207839549</v>
      </c>
      <c r="W1010" s="4">
        <f t="shared" ref="W1010:W1017" si="192">S1010*$E$5</f>
        <v>2524237.8506532959</v>
      </c>
      <c r="Y1010" s="4">
        <f t="shared" ref="Y1010:Y1017" si="193">M1010*$E$6</f>
        <v>1442536.9857608748</v>
      </c>
    </row>
    <row r="1011" spans="1:25" hidden="1" outlineLevel="1" x14ac:dyDescent="0.35">
      <c r="A1011" s="51" t="s">
        <v>2384</v>
      </c>
      <c r="H1011" s="10">
        <v>1056</v>
      </c>
      <c r="I1011" s="36">
        <f t="shared" ref="I1011:I1017" si="194">H1011*$E$10</f>
        <v>42240000</v>
      </c>
      <c r="J1011" s="37">
        <f t="shared" ref="J1011:J1017" si="195">H1011*$F$10</f>
        <v>236.9078651685393</v>
      </c>
      <c r="K1011" s="37">
        <f t="shared" ref="K1011:K1017" si="196">H1011*$G$10</f>
        <v>521.27640449438195</v>
      </c>
      <c r="M1011" s="37">
        <f t="shared" si="185"/>
        <v>189.54606741573031</v>
      </c>
      <c r="O1011" s="4">
        <f t="shared" si="186"/>
        <v>158400000</v>
      </c>
      <c r="Q1011" s="4">
        <f t="shared" si="190"/>
        <v>13200000</v>
      </c>
      <c r="S1011" s="4">
        <f t="shared" si="191"/>
        <v>528000</v>
      </c>
      <c r="U1011" s="4">
        <f t="shared" ref="U1011:U1017" si="197">W1011*12</f>
        <v>1900800</v>
      </c>
      <c r="W1011" s="4">
        <f t="shared" si="192"/>
        <v>158400</v>
      </c>
      <c r="Y1011" s="4">
        <f t="shared" si="193"/>
        <v>94773.03370786515</v>
      </c>
    </row>
    <row r="1012" spans="1:25" hidden="1" outlineLevel="1" x14ac:dyDescent="0.35">
      <c r="A1012" s="51" t="s">
        <v>2385</v>
      </c>
      <c r="H1012" s="10">
        <v>394</v>
      </c>
      <c r="I1012" s="36">
        <f t="shared" si="194"/>
        <v>15760000</v>
      </c>
      <c r="J1012" s="37">
        <f t="shared" si="195"/>
        <v>88.39176029962546</v>
      </c>
      <c r="K1012" s="37">
        <f t="shared" si="196"/>
        <v>194.49138576779026</v>
      </c>
      <c r="M1012" s="37">
        <f t="shared" si="185"/>
        <v>70.720786516853934</v>
      </c>
      <c r="O1012" s="4">
        <f t="shared" si="186"/>
        <v>59100000</v>
      </c>
      <c r="Q1012" s="4">
        <f t="shared" si="190"/>
        <v>4925000</v>
      </c>
      <c r="S1012" s="4">
        <f t="shared" si="191"/>
        <v>197000</v>
      </c>
      <c r="U1012" s="4">
        <f t="shared" si="197"/>
        <v>709200</v>
      </c>
      <c r="W1012" s="4">
        <f t="shared" si="192"/>
        <v>59100</v>
      </c>
      <c r="Y1012" s="4">
        <f t="shared" si="193"/>
        <v>35360.393258426964</v>
      </c>
    </row>
    <row r="1013" spans="1:25" hidden="1" outlineLevel="1" x14ac:dyDescent="0.35">
      <c r="A1013" s="51" t="s">
        <v>2386</v>
      </c>
      <c r="H1013" s="10">
        <v>385</v>
      </c>
      <c r="I1013" s="36">
        <f t="shared" si="194"/>
        <v>15400000</v>
      </c>
      <c r="J1013" s="37">
        <f t="shared" si="195"/>
        <v>86.372659176029956</v>
      </c>
      <c r="K1013" s="37">
        <f t="shared" si="196"/>
        <v>190.04868913857678</v>
      </c>
      <c r="M1013" s="37">
        <f t="shared" si="185"/>
        <v>69.105337078651687</v>
      </c>
      <c r="O1013" s="4">
        <f t="shared" si="186"/>
        <v>57750000</v>
      </c>
      <c r="Q1013" s="4">
        <f t="shared" si="190"/>
        <v>4812500</v>
      </c>
      <c r="S1013" s="4">
        <f t="shared" si="191"/>
        <v>192500</v>
      </c>
      <c r="U1013" s="4">
        <f t="shared" si="197"/>
        <v>693000</v>
      </c>
      <c r="W1013" s="4">
        <f t="shared" si="192"/>
        <v>57750</v>
      </c>
      <c r="Y1013" s="4">
        <f t="shared" si="193"/>
        <v>34552.668539325845</v>
      </c>
    </row>
    <row r="1014" spans="1:25" hidden="1" outlineLevel="1" x14ac:dyDescent="0.35">
      <c r="A1014" s="51" t="s">
        <v>2387</v>
      </c>
      <c r="H1014" s="10">
        <v>214</v>
      </c>
      <c r="I1014" s="36">
        <f t="shared" si="194"/>
        <v>8560000</v>
      </c>
      <c r="J1014" s="37">
        <f t="shared" si="195"/>
        <v>48.009737827715355</v>
      </c>
      <c r="K1014" s="37">
        <f t="shared" si="196"/>
        <v>105.63745318352059</v>
      </c>
      <c r="M1014" s="37">
        <f t="shared" si="185"/>
        <v>38.411797752808987</v>
      </c>
      <c r="O1014" s="4">
        <f t="shared" si="186"/>
        <v>32100000</v>
      </c>
      <c r="Q1014" s="4">
        <f t="shared" si="190"/>
        <v>2675000</v>
      </c>
      <c r="S1014" s="4">
        <f t="shared" si="191"/>
        <v>107000</v>
      </c>
      <c r="U1014" s="4">
        <f t="shared" si="197"/>
        <v>385200</v>
      </c>
      <c r="W1014" s="4">
        <f t="shared" si="192"/>
        <v>32100</v>
      </c>
      <c r="Y1014" s="4">
        <f t="shared" si="193"/>
        <v>19205.898876404492</v>
      </c>
    </row>
    <row r="1015" spans="1:25" hidden="1" outlineLevel="1" x14ac:dyDescent="0.35">
      <c r="A1015" s="51" t="s">
        <v>2388</v>
      </c>
      <c r="H1015" s="10">
        <v>8389</v>
      </c>
      <c r="I1015" s="36">
        <f t="shared" si="194"/>
        <v>335560000</v>
      </c>
      <c r="J1015" s="37">
        <f t="shared" si="195"/>
        <v>1882.0265917602994</v>
      </c>
      <c r="K1015" s="37">
        <f t="shared" si="196"/>
        <v>4141.0868913857676</v>
      </c>
      <c r="M1015" s="37">
        <f t="shared" si="185"/>
        <v>1505.7783707865167</v>
      </c>
      <c r="O1015" s="4">
        <f t="shared" si="186"/>
        <v>1258350000</v>
      </c>
      <c r="Q1015" s="4">
        <f t="shared" si="190"/>
        <v>104862500</v>
      </c>
      <c r="S1015" s="4">
        <f t="shared" si="191"/>
        <v>4194500</v>
      </c>
      <c r="U1015" s="4">
        <f t="shared" si="197"/>
        <v>15100200</v>
      </c>
      <c r="W1015" s="4">
        <f t="shared" si="192"/>
        <v>1258350</v>
      </c>
      <c r="Y1015" s="4">
        <f t="shared" si="193"/>
        <v>752889.18539325835</v>
      </c>
    </row>
    <row r="1016" spans="1:25" hidden="1" outlineLevel="1" x14ac:dyDescent="0.35">
      <c r="A1016" s="51" t="s">
        <v>2389</v>
      </c>
      <c r="H1016" s="10">
        <v>1021</v>
      </c>
      <c r="I1016" s="36">
        <f t="shared" si="194"/>
        <v>40840000</v>
      </c>
      <c r="J1016" s="37">
        <f t="shared" si="195"/>
        <v>229.05580524344569</v>
      </c>
      <c r="K1016" s="37">
        <f t="shared" si="196"/>
        <v>503.99925093632959</v>
      </c>
      <c r="M1016" s="37">
        <f t="shared" si="185"/>
        <v>183.26376404494383</v>
      </c>
      <c r="O1016" s="4">
        <f t="shared" si="186"/>
        <v>153150000</v>
      </c>
      <c r="Q1016" s="4">
        <f t="shared" si="190"/>
        <v>12762500</v>
      </c>
      <c r="S1016" s="4">
        <f t="shared" si="191"/>
        <v>510500</v>
      </c>
      <c r="U1016" s="4">
        <f t="shared" si="197"/>
        <v>1837800</v>
      </c>
      <c r="W1016" s="4">
        <f t="shared" si="192"/>
        <v>153150</v>
      </c>
      <c r="Y1016" s="4">
        <f t="shared" si="193"/>
        <v>91631.882022471909</v>
      </c>
    </row>
    <row r="1017" spans="1:25" hidden="1" outlineLevel="1" x14ac:dyDescent="0.35">
      <c r="A1017" s="51" t="s">
        <v>2390</v>
      </c>
      <c r="H1017" s="10">
        <v>621</v>
      </c>
      <c r="I1017" s="36">
        <f t="shared" si="194"/>
        <v>24840000</v>
      </c>
      <c r="J1017" s="37">
        <f t="shared" si="195"/>
        <v>139.31797752808987</v>
      </c>
      <c r="K1017" s="37">
        <f t="shared" si="196"/>
        <v>306.54606741573031</v>
      </c>
      <c r="M1017" s="37">
        <f t="shared" si="185"/>
        <v>111.46601123595505</v>
      </c>
      <c r="O1017" s="4">
        <f t="shared" si="186"/>
        <v>93150000</v>
      </c>
      <c r="Q1017" s="4">
        <f t="shared" si="190"/>
        <v>7762500</v>
      </c>
      <c r="S1017" s="4">
        <f t="shared" si="191"/>
        <v>310500</v>
      </c>
      <c r="U1017" s="4">
        <f t="shared" si="197"/>
        <v>1117800</v>
      </c>
      <c r="W1017" s="4">
        <f t="shared" si="192"/>
        <v>93150</v>
      </c>
      <c r="Y1017" s="4">
        <f t="shared" si="193"/>
        <v>55733.005617977527</v>
      </c>
    </row>
    <row r="1018" spans="1:25" hidden="1" outlineLevel="1" x14ac:dyDescent="0.35"/>
    <row r="1019" spans="1:25" ht="13" collapsed="1" x14ac:dyDescent="0.3">
      <c r="A1019" s="19" t="s">
        <v>2391</v>
      </c>
      <c r="B1019" s="20"/>
      <c r="C1019" s="19">
        <f>COUNTA(A1010:A1017)</f>
        <v>8</v>
      </c>
      <c r="D1019" s="20"/>
      <c r="E1019" s="21"/>
      <c r="F1019" s="20"/>
      <c r="G1019" s="20"/>
      <c r="H1019" s="19">
        <f>SUM(H1010:H1017)</f>
        <v>38510</v>
      </c>
      <c r="I1019" s="19">
        <f>SUM(I1010:I1017)</f>
        <v>1156330093.5075455</v>
      </c>
      <c r="J1019" s="19">
        <f>SUM(J1010:J1017)</f>
        <v>7566.5120708097593</v>
      </c>
      <c r="K1019" s="19">
        <f>SUM(K1010:K1017)</f>
        <v>12646.952354603081</v>
      </c>
      <c r="M1019" s="19">
        <f>SUM(M1010:M1017)</f>
        <v>5053.3661063532099</v>
      </c>
      <c r="O1019" s="22">
        <f>SUM(O1010:O1017)</f>
        <v>4336237850.6532955</v>
      </c>
      <c r="Q1019" s="22">
        <f>SUM(Q1010:Q1017)</f>
        <v>361353154.22110796</v>
      </c>
      <c r="S1019" s="22">
        <f>SUM(S1010:S1017)</f>
        <v>14454126.16884432</v>
      </c>
      <c r="U1019" s="22">
        <f>SUM(U1010:U1017)</f>
        <v>52034854.207839549</v>
      </c>
      <c r="W1019" s="22">
        <f>SUM(W1010:W1017)</f>
        <v>4336237.8506532963</v>
      </c>
      <c r="Y1019" s="22">
        <f>SUM(Y1010:Y1017)</f>
        <v>2526683.0531766051</v>
      </c>
    </row>
    <row r="1021" spans="1:25" x14ac:dyDescent="0.35">
      <c r="C1021" s="41"/>
      <c r="D1021" s="41"/>
      <c r="E1021" s="41"/>
      <c r="F1021" s="41"/>
      <c r="G1021" s="41"/>
      <c r="H1021" s="41"/>
      <c r="I1021" s="41"/>
    </row>
    <row r="1022" spans="1:25" x14ac:dyDescent="0.35">
      <c r="I1022" s="5" t="s">
        <v>2392</v>
      </c>
    </row>
    <row r="1023" spans="1:25" x14ac:dyDescent="0.35">
      <c r="I1023" s="2" t="s">
        <v>2398</v>
      </c>
    </row>
    <row r="1024" spans="1:25" x14ac:dyDescent="0.35">
      <c r="I1024" s="2" t="s">
        <v>2399</v>
      </c>
    </row>
    <row r="1025" spans="9:9" x14ac:dyDescent="0.35">
      <c r="I1025" s="2" t="s">
        <v>2400</v>
      </c>
    </row>
    <row r="1026" spans="9:9" x14ac:dyDescent="0.35">
      <c r="I1026" s="2" t="s">
        <v>2393</v>
      </c>
    </row>
    <row r="1027" spans="9:9" x14ac:dyDescent="0.35">
      <c r="I1027" s="2" t="s">
        <v>2394</v>
      </c>
    </row>
    <row r="1028" spans="9:9" x14ac:dyDescent="0.35">
      <c r="I1028" s="2" t="s">
        <v>2395</v>
      </c>
    </row>
    <row r="1029" spans="9:9" x14ac:dyDescent="0.35">
      <c r="I1029" s="2" t="s">
        <v>2396</v>
      </c>
    </row>
    <row r="1030" spans="9:9" x14ac:dyDescent="0.35">
      <c r="I1030" s="2" t="s">
        <v>2397</v>
      </c>
    </row>
    <row r="1031" spans="9:9" x14ac:dyDescent="0.35">
      <c r="I1031" s="2" t="s">
        <v>2401</v>
      </c>
    </row>
    <row r="1032" spans="9:9" x14ac:dyDescent="0.35">
      <c r="I1032" s="2" t="s">
        <v>2402</v>
      </c>
    </row>
    <row r="1033" spans="9:9" x14ac:dyDescent="0.35">
      <c r="I1033" s="2" t="s">
        <v>2403</v>
      </c>
    </row>
    <row r="1034" spans="9:9" x14ac:dyDescent="0.35">
      <c r="I1034" s="2" t="s">
        <v>2404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jorourke163 jorourke163</dc:creator>
  <cp:lastModifiedBy>jorourke163 jorourke163</cp:lastModifiedBy>
  <dcterms:created xsi:type="dcterms:W3CDTF">2026-01-28T17:27:37Z</dcterms:created>
  <dcterms:modified xsi:type="dcterms:W3CDTF">2026-01-28T17:44:00Z</dcterms:modified>
</cp:coreProperties>
</file>